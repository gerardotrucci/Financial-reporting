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unfiiapp-my.sharepoint.com/personal/gerardo_trucci_fiiapp_es/Documents/Escritorio/z_Personal/Portfolio/Expenditure reporting/VF/"/>
    </mc:Choice>
  </mc:AlternateContent>
  <xr:revisionPtr revIDLastSave="13807" documentId="13_ncr:1_{A38D57ED-B09F-43E0-9D1E-7ADC41FCE1C1}" xr6:coauthVersionLast="47" xr6:coauthVersionMax="47" xr10:uidLastSave="{A1B96A3C-ED2C-4E49-B1AD-ADA95BB8CF9C}"/>
  <bookViews>
    <workbookView xWindow="-28920" yWindow="-6885" windowWidth="29040" windowHeight="15720" tabRatio="855" xr2:uid="{00000000-000D-0000-FFFF-FFFF00000000}"/>
  </bookViews>
  <sheets>
    <sheet name="Financial report" sheetId="5" r:id="rId1"/>
  </sheets>
  <definedNames>
    <definedName name="_xlnm._FilterDatabase" localSheetId="0" hidden="1">'Financial report'!$A$5:$T$103</definedName>
    <definedName name="ConnectionInfo">#REF!</definedName>
    <definedName name="ObjectInf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1" i="5" l="1"/>
  <c r="P81" i="5"/>
  <c r="N78" i="5"/>
  <c r="P78" i="5"/>
  <c r="R78" i="5" s="1"/>
  <c r="N62" i="5"/>
  <c r="P62" i="5"/>
  <c r="N59" i="5"/>
  <c r="P59" i="5"/>
  <c r="N52" i="5"/>
  <c r="P52" i="5"/>
  <c r="N40" i="5"/>
  <c r="P40" i="5"/>
  <c r="R40" i="5" s="1"/>
  <c r="N37" i="5"/>
  <c r="P37" i="5"/>
  <c r="K56" i="5"/>
  <c r="N90" i="5"/>
  <c r="N85" i="5" s="1"/>
  <c r="N93" i="5"/>
  <c r="N96" i="5"/>
  <c r="N99" i="5"/>
  <c r="P99" i="5"/>
  <c r="P96" i="5"/>
  <c r="P93" i="5"/>
  <c r="P90" i="5"/>
  <c r="R37" i="5"/>
  <c r="K102" i="5"/>
  <c r="K77" i="5"/>
  <c r="K24" i="5"/>
  <c r="K16" i="5"/>
  <c r="K12" i="5" s="1"/>
  <c r="N74" i="5" l="1"/>
  <c r="N68" i="5" s="1"/>
  <c r="N65" i="5" s="1"/>
  <c r="N56" i="5" s="1"/>
  <c r="N49" i="5" s="1"/>
  <c r="N46" i="5" s="1"/>
  <c r="N43" i="5" s="1"/>
  <c r="N34" i="5"/>
  <c r="N31" i="5" s="1"/>
  <c r="N28" i="5" s="1"/>
  <c r="N25" i="5" s="1"/>
  <c r="N19" i="5" s="1"/>
  <c r="N16" i="5" s="1"/>
  <c r="N13" i="5" s="1"/>
  <c r="N9" i="5" s="1"/>
  <c r="O78" i="5"/>
  <c r="O37" i="5"/>
  <c r="O62" i="5"/>
  <c r="O93" i="5"/>
  <c r="O59" i="5"/>
  <c r="O81" i="5"/>
  <c r="O96" i="5"/>
  <c r="O99" i="5"/>
  <c r="O90" i="5"/>
  <c r="R81" i="5"/>
  <c r="Q62" i="5"/>
  <c r="O52" i="5"/>
  <c r="O40" i="5"/>
  <c r="P77" i="5"/>
  <c r="R62" i="5"/>
  <c r="Q81" i="5"/>
  <c r="Q40" i="5"/>
  <c r="Q59" i="5"/>
  <c r="Q37" i="5"/>
  <c r="Q78" i="5"/>
  <c r="R59" i="5"/>
  <c r="J49" i="5"/>
  <c r="J85" i="5"/>
  <c r="J68" i="5"/>
  <c r="J52" i="5"/>
  <c r="J46" i="5"/>
  <c r="J43" i="5"/>
  <c r="J34" i="5"/>
  <c r="J37" i="5"/>
  <c r="J40" i="5"/>
  <c r="R90" i="5" l="1"/>
  <c r="Q90" i="5"/>
  <c r="P102" i="5" l="1"/>
  <c r="R102" i="5" s="1"/>
  <c r="Q96" i="5"/>
  <c r="R93" i="5"/>
  <c r="Q93" i="5"/>
  <c r="R99" i="5"/>
  <c r="Q99" i="5"/>
  <c r="R96" i="5"/>
  <c r="Q77" i="5"/>
  <c r="Q52" i="5" l="1"/>
  <c r="R52" i="5"/>
  <c r="R77" i="5"/>
  <c r="K74" i="5" l="1"/>
  <c r="K73" i="5" l="1"/>
  <c r="K55" i="5"/>
  <c r="K71" i="5" s="1"/>
  <c r="K9" i="5"/>
  <c r="K8" i="5" s="1"/>
  <c r="K22" i="5" l="1"/>
  <c r="K84" i="5"/>
  <c r="K88" i="5" s="1"/>
  <c r="J93" i="5"/>
  <c r="K103" i="5" l="1"/>
  <c r="J59" i="5" l="1"/>
  <c r="P56" i="5"/>
  <c r="Q56" i="5" s="1"/>
  <c r="P49" i="5"/>
  <c r="Q49" i="5" s="1"/>
  <c r="P46" i="5"/>
  <c r="Q46" i="5" s="1"/>
  <c r="P43" i="5"/>
  <c r="O43" i="5" s="1"/>
  <c r="P34" i="5"/>
  <c r="Q34" i="5" s="1"/>
  <c r="P31" i="5"/>
  <c r="Q31" i="5" s="1"/>
  <c r="P28" i="5"/>
  <c r="Q28" i="5" s="1"/>
  <c r="P25" i="5"/>
  <c r="Q25" i="5" s="1"/>
  <c r="P19" i="5"/>
  <c r="O19" i="5" s="1"/>
  <c r="P16" i="5"/>
  <c r="R16" i="5" s="1"/>
  <c r="P13" i="5"/>
  <c r="O13" i="5" s="1"/>
  <c r="P9" i="5"/>
  <c r="O9" i="5" s="1"/>
  <c r="P8" i="5"/>
  <c r="R8" i="5" s="1"/>
  <c r="P68" i="5"/>
  <c r="Q68" i="5" s="1"/>
  <c r="P65" i="5"/>
  <c r="P85" i="5"/>
  <c r="P84" i="5" s="1"/>
  <c r="P74" i="5"/>
  <c r="P73" i="5" s="1"/>
  <c r="R34" i="5" l="1"/>
  <c r="Q74" i="5"/>
  <c r="R74" i="5"/>
  <c r="O34" i="5"/>
  <c r="Q73" i="5"/>
  <c r="R73" i="5"/>
  <c r="O74" i="5"/>
  <c r="O56" i="5"/>
  <c r="Q8" i="5"/>
  <c r="R46" i="5"/>
  <c r="Q13" i="5"/>
  <c r="R13" i="5"/>
  <c r="P55" i="5"/>
  <c r="R55" i="5" s="1"/>
  <c r="R56" i="5"/>
  <c r="R49" i="5"/>
  <c r="P12" i="5"/>
  <c r="P22" i="5" s="1"/>
  <c r="P24" i="5"/>
  <c r="Q24" i="5" s="1"/>
  <c r="Q9" i="5"/>
  <c r="R9" i="5"/>
  <c r="Q85" i="5"/>
  <c r="O49" i="5"/>
  <c r="P88" i="5"/>
  <c r="R84" i="5"/>
  <c r="Q84" i="5"/>
  <c r="O68" i="5"/>
  <c r="O65" i="5"/>
  <c r="R68" i="5"/>
  <c r="Q65" i="5"/>
  <c r="R65" i="5"/>
  <c r="O85" i="5"/>
  <c r="Q16" i="5"/>
  <c r="R85" i="5"/>
  <c r="O16" i="5"/>
  <c r="O28" i="5"/>
  <c r="O25" i="5"/>
  <c r="R19" i="5"/>
  <c r="R28" i="5"/>
  <c r="R25" i="5"/>
  <c r="Q19" i="5"/>
  <c r="O46" i="5"/>
  <c r="R43" i="5"/>
  <c r="O31" i="5"/>
  <c r="Q43" i="5"/>
  <c r="R31" i="5"/>
  <c r="Q55" i="5" l="1"/>
  <c r="P71" i="5"/>
  <c r="Q12" i="5"/>
  <c r="R12" i="5"/>
  <c r="R24" i="5"/>
  <c r="Q71" i="5"/>
  <c r="R71" i="5"/>
  <c r="Q88" i="5"/>
  <c r="R88" i="5"/>
  <c r="P103" i="5"/>
  <c r="R103" i="5" s="1"/>
  <c r="R22" i="5"/>
  <c r="Q22" i="5"/>
</calcChain>
</file>

<file path=xl/sharedStrings.xml><?xml version="1.0" encoding="utf-8"?>
<sst xmlns="http://schemas.openxmlformats.org/spreadsheetml/2006/main" count="169" uniqueCount="105">
  <si>
    <t>Unit</t>
  </si>
  <si>
    <t># of units</t>
  </si>
  <si>
    <t>Unit value
(in EUR)</t>
  </si>
  <si>
    <t>1.1. Human resources Serbia</t>
  </si>
  <si>
    <t>Per month</t>
  </si>
  <si>
    <t>1.2. Human resources at HQ</t>
  </si>
  <si>
    <t>Subtotal Human Resources</t>
  </si>
  <si>
    <t>2. ACTIVITIES</t>
  </si>
  <si>
    <t>2.1. Mission and travel expenses</t>
  </si>
  <si>
    <t>2.1.1. Junior Mid / Short Term experts</t>
  </si>
  <si>
    <t>Per unit</t>
  </si>
  <si>
    <t>2.1.2. Senior Mid / Short Term Experts</t>
  </si>
  <si>
    <t xml:space="preserve">2.1.3. Per diems STE </t>
  </si>
  <si>
    <t>2.1.4. Travels</t>
  </si>
  <si>
    <t>Lump Sum</t>
  </si>
  <si>
    <t>2.1.5. Publications, studies</t>
  </si>
  <si>
    <t>2.1.6. Study Visits</t>
  </si>
  <si>
    <t>2.1.8. External Consultancy</t>
  </si>
  <si>
    <t>2.1.9. Workshop/Trainings/Conferences</t>
  </si>
  <si>
    <t>2.1.10. Procurement</t>
  </si>
  <si>
    <t>2.2. Horizontal activities</t>
  </si>
  <si>
    <t>Per year</t>
  </si>
  <si>
    <t>Lump sum</t>
  </si>
  <si>
    <t>Subtotal Activities</t>
  </si>
  <si>
    <t>3. OFFICE COSTS AND SUPPLIES</t>
  </si>
  <si>
    <t>3.2 Office Costs HQ</t>
  </si>
  <si>
    <t>3.2.1 Courier Costs</t>
  </si>
  <si>
    <t>3.3. Supplies</t>
  </si>
  <si>
    <t>3.3.1. Laptop, Printers and Software licenses - consumibles</t>
  </si>
  <si>
    <t>Subtotal Local Office</t>
  </si>
  <si>
    <t>4. OTHER COSTS/SERVICES</t>
  </si>
  <si>
    <t>4.2 Monitoring and Evaluation Costs</t>
  </si>
  <si>
    <t>4.3. Financial services</t>
  </si>
  <si>
    <t>4.4 Other costs</t>
  </si>
  <si>
    <t>Subtotal Other costs/services</t>
  </si>
  <si>
    <t>Budget Executed</t>
  </si>
  <si>
    <t>% Executed</t>
  </si>
  <si>
    <t>Remaining Budget</t>
  </si>
  <si>
    <t>1. Human Resources
Salaries (gross salaries including social security charges and other realted cost) staff for programme management</t>
  </si>
  <si>
    <t>1.1</t>
  </si>
  <si>
    <t>1.1.1</t>
  </si>
  <si>
    <t>1.2</t>
  </si>
  <si>
    <t>1.2.1</t>
  </si>
  <si>
    <t>1.2.2</t>
  </si>
  <si>
    <t>1.2.3</t>
  </si>
  <si>
    <t>Subtotal</t>
  </si>
  <si>
    <t>2.1</t>
  </si>
  <si>
    <t>2.1.1</t>
  </si>
  <si>
    <t>2.1.2</t>
  </si>
  <si>
    <t>2.1.3</t>
  </si>
  <si>
    <t>2.1.4</t>
  </si>
  <si>
    <t>2.1.5</t>
  </si>
  <si>
    <t>2.1.6</t>
  </si>
  <si>
    <t>2.1.7</t>
  </si>
  <si>
    <t>2.1.8</t>
  </si>
  <si>
    <t>2.1.9</t>
  </si>
  <si>
    <t>2.1.10</t>
  </si>
  <si>
    <t>2.2</t>
  </si>
  <si>
    <t>2.2.1</t>
  </si>
  <si>
    <t>2.2.2</t>
  </si>
  <si>
    <t>2.2.3</t>
  </si>
  <si>
    <t>2.2.4</t>
  </si>
  <si>
    <t>2.2.5</t>
  </si>
  <si>
    <t>3.1</t>
  </si>
  <si>
    <t>3.1.1</t>
  </si>
  <si>
    <t>3.2</t>
  </si>
  <si>
    <t>3.2.2</t>
  </si>
  <si>
    <t>3.2.1</t>
  </si>
  <si>
    <t>3.3</t>
  </si>
  <si>
    <t>3.3.1</t>
  </si>
  <si>
    <t>4.1</t>
  </si>
  <si>
    <t>4.2</t>
  </si>
  <si>
    <t>4.4</t>
  </si>
  <si>
    <t>2.1.7. Visibility and communication for activities</t>
  </si>
  <si>
    <t>3.2.2 Service Costs</t>
  </si>
  <si>
    <t>Budget line number</t>
  </si>
  <si>
    <t>Issue date</t>
  </si>
  <si>
    <t>Entry date</t>
  </si>
  <si>
    <t>Entry ID</t>
  </si>
  <si>
    <t>Invoice number</t>
  </si>
  <si>
    <t>Expenses under not included Budget lines:</t>
  </si>
  <si>
    <t>Expense description</t>
  </si>
  <si>
    <t>H1</t>
  </si>
  <si>
    <t>H2</t>
  </si>
  <si>
    <t>H3</t>
  </si>
  <si>
    <t>BUDGET</t>
  </si>
  <si>
    <t>FINANCIAL REPORT - PROJECT X</t>
  </si>
  <si>
    <t>Budget line description</t>
  </si>
  <si>
    <t>Total</t>
  </si>
  <si>
    <t>EXPENDITURES DETAILS</t>
  </si>
  <si>
    <t>Financial period</t>
  </si>
  <si>
    <t>Activity code</t>
  </si>
  <si>
    <t>1.1.1.Team Leader</t>
  </si>
  <si>
    <t>1.2.1. Project Coordinator</t>
  </si>
  <si>
    <t>1.2.2. Project Officer</t>
  </si>
  <si>
    <t>1.2.3. Economic Officer</t>
  </si>
  <si>
    <t>2.2.1.Logistic staff onsite</t>
  </si>
  <si>
    <t>3.1. Office Costs</t>
  </si>
  <si>
    <t>3.1.1.Office Costs</t>
  </si>
  <si>
    <t xml:space="preserve">4.1. Audit: Internal Expenditure verification </t>
  </si>
  <si>
    <t>5.  Total cost of the Action (1-4)</t>
  </si>
  <si>
    <t>2.2.2 Translation and interpretation</t>
  </si>
  <si>
    <t>2.2.3 Legal support</t>
  </si>
  <si>
    <t xml:space="preserve">2.2.4 HQ staff missions for start-up/closing conf. and Steering Committees </t>
  </si>
  <si>
    <t>2.2.5 Travel in the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</si>
</sst>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.00\ [$€-C0A]_-;\-* #,##0.00\ [$€-C0A]_-;_-* &quot;-&quot;??\ [$€-C0A]_-;_-@_-"/>
    <numFmt numFmtId="165" formatCode="#,##0.00\ &quot;€&quot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5"/>
      <color theme="0"/>
      <name val="Arial"/>
      <family val="2"/>
    </font>
    <font>
      <b/>
      <sz val="12"/>
      <color theme="0"/>
      <name val="Arial"/>
      <family val="2"/>
    </font>
    <font>
      <sz val="7"/>
      <color theme="0"/>
      <name val="Arial"/>
      <family val="2"/>
    </font>
    <font>
      <b/>
      <sz val="7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2D7DCE"/>
        <bgColor indexed="64"/>
      </patternFill>
    </fill>
    <fill>
      <patternFill patternType="solid">
        <fgColor rgb="FF2D7DCE"/>
        <bgColor rgb="FF000000"/>
      </patternFill>
    </fill>
    <fill>
      <patternFill patternType="solid">
        <fgColor rgb="FFB8D3EF"/>
        <bgColor indexed="64"/>
      </patternFill>
    </fill>
    <fill>
      <patternFill patternType="solid">
        <fgColor rgb="FFB8D3EF"/>
        <bgColor rgb="FF000000"/>
      </patternFill>
    </fill>
    <fill>
      <patternFill patternType="solid">
        <fgColor theme="3" tint="-0.499984740745262"/>
        <bgColor rgb="FFFFE598"/>
      </patternFill>
    </fill>
    <fill>
      <patternFill patternType="solid">
        <fgColor rgb="FF222B35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</cellStyleXfs>
  <cellXfs count="131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4" fontId="3" fillId="2" borderId="0" xfId="1" applyNumberFormat="1" applyFont="1" applyFill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165" fontId="2" fillId="4" borderId="4" xfId="0" applyNumberFormat="1" applyFont="1" applyFill="1" applyBorder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65" fontId="3" fillId="2" borderId="0" xfId="0" applyNumberFormat="1" applyFont="1" applyFill="1" applyAlignment="1">
      <alignment horizontal="center" vertical="center"/>
    </xf>
    <xf numFmtId="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165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4" xfId="1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164" fontId="2" fillId="0" borderId="4" xfId="1" applyNumberFormat="1" applyFont="1" applyFill="1" applyBorder="1" applyAlignment="1">
      <alignment horizontal="center" vertical="center"/>
    </xf>
    <xf numFmtId="4" fontId="2" fillId="2" borderId="4" xfId="0" applyNumberFormat="1" applyFont="1" applyFill="1" applyBorder="1" applyAlignment="1">
      <alignment horizontal="left" vertical="center"/>
    </xf>
    <xf numFmtId="165" fontId="2" fillId="2" borderId="4" xfId="0" applyNumberFormat="1" applyFont="1" applyFill="1" applyBorder="1" applyAlignment="1">
      <alignment horizontal="right" vertical="center"/>
    </xf>
    <xf numFmtId="4" fontId="5" fillId="0" borderId="4" xfId="0" applyNumberFormat="1" applyFont="1" applyBorder="1" applyAlignment="1">
      <alignment horizontal="left"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165" fontId="5" fillId="0" borderId="4" xfId="0" applyNumberFormat="1" applyFont="1" applyBorder="1" applyAlignment="1">
      <alignment horizontal="right" vertical="center"/>
    </xf>
    <xf numFmtId="4" fontId="3" fillId="2" borderId="4" xfId="0" applyNumberFormat="1" applyFont="1" applyFill="1" applyBorder="1" applyAlignment="1">
      <alignment horizontal="lef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165" fontId="2" fillId="3" borderId="4" xfId="0" applyNumberFormat="1" applyFont="1" applyFill="1" applyBorder="1" applyAlignment="1">
      <alignment horizontal="center" vertical="center"/>
    </xf>
    <xf numFmtId="165" fontId="2" fillId="3" borderId="4" xfId="0" applyNumberFormat="1" applyFont="1" applyFill="1" applyBorder="1" applyAlignment="1">
      <alignment horizontal="right" vertical="center"/>
    </xf>
    <xf numFmtId="165" fontId="2" fillId="3" borderId="4" xfId="0" applyNumberFormat="1" applyFont="1" applyFill="1" applyBorder="1" applyAlignment="1">
      <alignment horizontal="left" vertical="center"/>
    </xf>
    <xf numFmtId="165" fontId="3" fillId="4" borderId="4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right" vertical="center"/>
    </xf>
    <xf numFmtId="10" fontId="2" fillId="4" borderId="4" xfId="3" applyNumberFormat="1" applyFont="1" applyFill="1" applyBorder="1" applyAlignment="1">
      <alignment horizontal="center" vertical="center"/>
    </xf>
    <xf numFmtId="165" fontId="5" fillId="0" borderId="4" xfId="0" applyNumberFormat="1" applyFont="1" applyBorder="1" applyAlignment="1">
      <alignment vertical="center"/>
    </xf>
    <xf numFmtId="14" fontId="5" fillId="2" borderId="4" xfId="0" applyNumberFormat="1" applyFont="1" applyFill="1" applyBorder="1" applyAlignment="1">
      <alignment horizontal="left" vertical="center"/>
    </xf>
    <xf numFmtId="14" fontId="5" fillId="0" borderId="4" xfId="0" applyNumberFormat="1" applyFont="1" applyBorder="1" applyAlignment="1">
      <alignment horizontal="left" vertical="center"/>
    </xf>
    <xf numFmtId="14" fontId="5" fillId="0" borderId="4" xfId="0" quotePrefix="1" applyNumberFormat="1" applyFont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right" vertical="center"/>
    </xf>
    <xf numFmtId="4" fontId="3" fillId="0" borderId="4" xfId="0" applyNumberFormat="1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165" fontId="2" fillId="6" borderId="4" xfId="0" applyNumberFormat="1" applyFont="1" applyFill="1" applyBorder="1" applyAlignment="1">
      <alignment horizontal="center" vertical="center"/>
    </xf>
    <xf numFmtId="4" fontId="2" fillId="6" borderId="4" xfId="0" applyNumberFormat="1" applyFont="1" applyFill="1" applyBorder="1" applyAlignment="1">
      <alignment horizontal="center" vertical="center"/>
    </xf>
    <xf numFmtId="165" fontId="3" fillId="6" borderId="4" xfId="0" applyNumberFormat="1" applyFont="1" applyFill="1" applyBorder="1" applyAlignment="1">
      <alignment horizontal="center" vertical="center"/>
    </xf>
    <xf numFmtId="165" fontId="3" fillId="6" borderId="4" xfId="1" applyNumberFormat="1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left" vertical="center"/>
    </xf>
    <xf numFmtId="0" fontId="3" fillId="6" borderId="4" xfId="0" applyFont="1" applyFill="1" applyBorder="1" applyAlignment="1">
      <alignment horizontal="center" vertical="center"/>
    </xf>
    <xf numFmtId="164" fontId="3" fillId="6" borderId="4" xfId="1" applyNumberFormat="1" applyFont="1" applyFill="1" applyBorder="1" applyAlignment="1">
      <alignment horizontal="center" vertical="center"/>
    </xf>
    <xf numFmtId="164" fontId="3" fillId="6" borderId="4" xfId="1" applyNumberFormat="1" applyFont="1" applyFill="1" applyBorder="1" applyAlignment="1">
      <alignment horizontal="left" vertical="center"/>
    </xf>
    <xf numFmtId="165" fontId="3" fillId="7" borderId="4" xfId="0" applyNumberFormat="1" applyFont="1" applyFill="1" applyBorder="1" applyAlignment="1">
      <alignment horizontal="center" vertical="center"/>
    </xf>
    <xf numFmtId="4" fontId="3" fillId="7" borderId="4" xfId="0" applyNumberFormat="1" applyFont="1" applyFill="1" applyBorder="1" applyAlignment="1">
      <alignment horizontal="center" vertical="center"/>
    </xf>
    <xf numFmtId="165" fontId="2" fillId="6" borderId="4" xfId="0" applyNumberFormat="1" applyFont="1" applyFill="1" applyBorder="1" applyAlignment="1">
      <alignment horizontal="right" vertical="center"/>
    </xf>
    <xf numFmtId="0" fontId="2" fillId="6" borderId="4" xfId="0" applyFont="1" applyFill="1" applyBorder="1" applyAlignment="1">
      <alignment horizontal="right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 vertical="center"/>
    </xf>
    <xf numFmtId="165" fontId="2" fillId="8" borderId="4" xfId="0" applyNumberFormat="1" applyFont="1" applyFill="1" applyBorder="1" applyAlignment="1">
      <alignment horizontal="center" vertical="center"/>
    </xf>
    <xf numFmtId="4" fontId="2" fillId="8" borderId="4" xfId="0" applyNumberFormat="1" applyFont="1" applyFill="1" applyBorder="1" applyAlignment="1">
      <alignment horizontal="center" vertical="center"/>
    </xf>
    <xf numFmtId="165" fontId="3" fillId="8" borderId="4" xfId="0" applyNumberFormat="1" applyFont="1" applyFill="1" applyBorder="1" applyAlignment="1">
      <alignment horizontal="center" vertical="center"/>
    </xf>
    <xf numFmtId="165" fontId="2" fillId="8" borderId="4" xfId="0" applyNumberFormat="1" applyFont="1" applyFill="1" applyBorder="1" applyAlignment="1">
      <alignment horizontal="right" vertical="center"/>
    </xf>
    <xf numFmtId="10" fontId="2" fillId="8" borderId="4" xfId="0" applyNumberFormat="1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right" vertical="center"/>
    </xf>
    <xf numFmtId="0" fontId="3" fillId="8" borderId="4" xfId="0" applyFont="1" applyFill="1" applyBorder="1" applyAlignment="1">
      <alignment horizontal="center" vertical="center"/>
    </xf>
    <xf numFmtId="3" fontId="3" fillId="8" borderId="4" xfId="0" applyNumberFormat="1" applyFont="1" applyFill="1" applyBorder="1" applyAlignment="1">
      <alignment horizontal="center" vertical="center"/>
    </xf>
    <xf numFmtId="165" fontId="2" fillId="8" borderId="4" xfId="1" applyNumberFormat="1" applyFont="1" applyFill="1" applyBorder="1" applyAlignment="1">
      <alignment horizontal="right" vertical="center"/>
    </xf>
    <xf numFmtId="4" fontId="3" fillId="8" borderId="4" xfId="0" applyNumberFormat="1" applyFont="1" applyFill="1" applyBorder="1" applyAlignment="1">
      <alignment horizontal="left" vertical="center"/>
    </xf>
    <xf numFmtId="164" fontId="3" fillId="8" borderId="4" xfId="1" applyNumberFormat="1" applyFont="1" applyFill="1" applyBorder="1" applyAlignment="1">
      <alignment horizontal="left" vertical="center"/>
    </xf>
    <xf numFmtId="164" fontId="3" fillId="8" borderId="4" xfId="1" applyNumberFormat="1" applyFont="1" applyFill="1" applyBorder="1" applyAlignment="1">
      <alignment horizontal="center" vertical="center"/>
    </xf>
    <xf numFmtId="165" fontId="3" fillId="9" borderId="4" xfId="0" applyNumberFormat="1" applyFont="1" applyFill="1" applyBorder="1" applyAlignment="1">
      <alignment horizontal="center" vertical="center"/>
    </xf>
    <xf numFmtId="4" fontId="3" fillId="9" borderId="4" xfId="0" applyNumberFormat="1" applyFont="1" applyFill="1" applyBorder="1" applyAlignment="1">
      <alignment horizontal="center" vertical="center"/>
    </xf>
    <xf numFmtId="165" fontId="2" fillId="8" borderId="4" xfId="1" applyNumberFormat="1" applyFont="1" applyFill="1" applyBorder="1" applyAlignment="1">
      <alignment horizontal="center" vertical="center"/>
    </xf>
    <xf numFmtId="164" fontId="2" fillId="8" borderId="4" xfId="1" applyNumberFormat="1" applyFont="1" applyFill="1" applyBorder="1" applyAlignment="1">
      <alignment horizontal="left" vertical="center"/>
    </xf>
    <xf numFmtId="165" fontId="2" fillId="9" borderId="4" xfId="0" applyNumberFormat="1" applyFont="1" applyFill="1" applyBorder="1" applyAlignment="1">
      <alignment horizontal="center" vertical="center"/>
    </xf>
    <xf numFmtId="3" fontId="2" fillId="9" borderId="4" xfId="0" applyNumberFormat="1" applyFont="1" applyFill="1" applyBorder="1" applyAlignment="1">
      <alignment horizontal="center" vertical="center"/>
    </xf>
    <xf numFmtId="0" fontId="2" fillId="8" borderId="4" xfId="0" applyFont="1" applyFill="1" applyBorder="1" applyAlignment="1">
      <alignment vertical="center"/>
    </xf>
    <xf numFmtId="10" fontId="2" fillId="8" borderId="4" xfId="3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1" fontId="2" fillId="6" borderId="4" xfId="0" applyNumberFormat="1" applyFont="1" applyFill="1" applyBorder="1" applyAlignment="1">
      <alignment horizontal="left" vertical="center"/>
    </xf>
    <xf numFmtId="1" fontId="2" fillId="8" borderId="4" xfId="0" applyNumberFormat="1" applyFont="1" applyFill="1" applyBorder="1" applyAlignment="1">
      <alignment horizontal="left" vertical="center"/>
    </xf>
    <xf numFmtId="1" fontId="5" fillId="0" borderId="4" xfId="0" applyNumberFormat="1" applyFont="1" applyBorder="1" applyAlignment="1">
      <alignment vertical="center"/>
    </xf>
    <xf numFmtId="1" fontId="2" fillId="3" borderId="4" xfId="0" applyNumberFormat="1" applyFont="1" applyFill="1" applyBorder="1" applyAlignment="1">
      <alignment horizontal="left" vertical="center"/>
    </xf>
    <xf numFmtId="1" fontId="2" fillId="7" borderId="4" xfId="0" applyNumberFormat="1" applyFont="1" applyFill="1" applyBorder="1" applyAlignment="1">
      <alignment horizontal="left" vertical="center"/>
    </xf>
    <xf numFmtId="0" fontId="10" fillId="5" borderId="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22" fontId="2" fillId="2" borderId="5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3" fontId="2" fillId="0" borderId="4" xfId="0" applyNumberFormat="1" applyFont="1" applyBorder="1" applyAlignment="1">
      <alignment horizontal="center" vertical="center"/>
    </xf>
    <xf numFmtId="165" fontId="2" fillId="0" borderId="4" xfId="1" applyNumberFormat="1" applyFont="1" applyFill="1" applyBorder="1" applyAlignment="1">
      <alignment horizontal="center" vertical="center"/>
    </xf>
    <xf numFmtId="4" fontId="2" fillId="0" borderId="4" xfId="0" applyNumberFormat="1" applyFont="1" applyBorder="1" applyAlignment="1">
      <alignment horizontal="left" vertical="center"/>
    </xf>
    <xf numFmtId="165" fontId="2" fillId="0" borderId="4" xfId="0" applyNumberFormat="1" applyFont="1" applyBorder="1" applyAlignment="1">
      <alignment horizontal="right" vertical="center"/>
    </xf>
    <xf numFmtId="1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right" vertical="center"/>
    </xf>
    <xf numFmtId="0" fontId="3" fillId="0" borderId="4" xfId="0" applyFont="1" applyBorder="1" applyAlignment="1">
      <alignment vertical="center"/>
    </xf>
    <xf numFmtId="164" fontId="3" fillId="0" borderId="4" xfId="1" applyNumberFormat="1" applyFont="1" applyFill="1" applyBorder="1" applyAlignment="1">
      <alignment horizontal="center" vertical="center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right" vertical="center"/>
    </xf>
    <xf numFmtId="165" fontId="3" fillId="0" borderId="4" xfId="1" applyNumberFormat="1" applyFont="1" applyFill="1" applyBorder="1" applyAlignment="1">
      <alignment horizontal="right" vertical="center"/>
    </xf>
    <xf numFmtId="0" fontId="6" fillId="0" borderId="4" xfId="0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left"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165" fontId="3" fillId="0" borderId="0" xfId="0" applyNumberFormat="1" applyFont="1" applyAlignment="1">
      <alignment vertical="center"/>
    </xf>
    <xf numFmtId="4" fontId="3" fillId="0" borderId="0" xfId="0" applyNumberFormat="1" applyFont="1" applyAlignment="1">
      <alignment vertical="center"/>
    </xf>
    <xf numFmtId="165" fontId="2" fillId="0" borderId="0" xfId="0" applyNumberFormat="1" applyFont="1" applyAlignment="1">
      <alignment vertical="center"/>
    </xf>
    <xf numFmtId="165" fontId="6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0" fillId="5" borderId="8" xfId="0" applyFont="1" applyFill="1" applyBorder="1" applyAlignment="1">
      <alignment horizontal="center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4" fontId="10" fillId="10" borderId="7" xfId="0" applyNumberFormat="1" applyFont="1" applyFill="1" applyBorder="1" applyAlignment="1">
      <alignment horizontal="center" vertical="center" wrapText="1"/>
    </xf>
  </cellXfs>
  <cellStyles count="5">
    <cellStyle name="Moneda 2" xfId="1" xr:uid="{E6FD4ECD-3FDB-4803-B6E3-1ECD4E3261A0}"/>
    <cellStyle name="Normal" xfId="0" builtinId="0"/>
    <cellStyle name="Normal 2" xfId="4" xr:uid="{758DF3E6-AEE1-41E1-ACCC-0CC9CB5E3B60}"/>
    <cellStyle name="Percent" xfId="3" builtinId="5"/>
    <cellStyle name="Porcentaje 2" xfId="2" xr:uid="{642176AA-3C7F-48C1-B31E-39EB1DBC6FA0}"/>
  </cellStyles>
  <dxfs count="0"/>
  <tableStyles count="0" defaultTableStyle="TableStyleMedium2" defaultPivotStyle="PivotStyleLight16"/>
  <colors>
    <mruColors>
      <color rgb="FF0000FF"/>
      <color rgb="FF222B35"/>
      <color rgb="FFB8D3EF"/>
      <color rgb="FF2D7DCE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25587</xdr:colOff>
      <xdr:row>2</xdr:row>
      <xdr:rowOff>1</xdr:rowOff>
    </xdr:from>
    <xdr:to>
      <xdr:col>1</xdr:col>
      <xdr:colOff>1243853</xdr:colOff>
      <xdr:row>2</xdr:row>
      <xdr:rowOff>276973</xdr:rowOff>
    </xdr:to>
    <xdr:sp macro="[0]!Financial_report_upd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E6934B-D8E6-F57B-B375-215F2C90747D}"/>
            </a:ext>
          </a:extLst>
        </xdr:cNvPr>
        <xdr:cNvSpPr/>
      </xdr:nvSpPr>
      <xdr:spPr>
        <a:xfrm>
          <a:off x="305734" y="392207"/>
          <a:ext cx="1218266" cy="276972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UPDATE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91C45-0FE3-40BA-807A-3801C3A6C575}">
  <sheetPr codeName="Sheet8">
    <tabColor rgb="FFFF0000"/>
    <pageSetUpPr fitToPage="1"/>
  </sheetPr>
  <dimension ref="A1:T249"/>
  <sheetViews>
    <sheetView showGridLines="0" tabSelected="1" zoomScale="85" zoomScaleNormal="85" workbookViewId="0">
      <pane xSplit="2" ySplit="6" topLeftCell="C7" activePane="bottomRight" state="frozen"/>
      <selection pane="topRight" activeCell="D1" sqref="D1"/>
      <selection pane="bottomLeft" activeCell="A8" sqref="A8"/>
      <selection pane="bottomRight" activeCell="G15" sqref="G15"/>
    </sheetView>
  </sheetViews>
  <sheetFormatPr defaultColWidth="10.81640625" defaultRowHeight="14.5" x14ac:dyDescent="0.35"/>
  <cols>
    <col min="1" max="1" width="4" style="120" bestFit="1" customWidth="1"/>
    <col min="2" max="2" width="18.36328125" style="24" customWidth="1"/>
    <col min="3" max="4" width="16.08984375" style="24" customWidth="1"/>
    <col min="5" max="6" width="18.6328125" style="24" customWidth="1"/>
    <col min="7" max="7" width="88.36328125" style="2" customWidth="1"/>
    <col min="8" max="8" width="12" style="11" bestFit="1" customWidth="1"/>
    <col min="9" max="9" width="17.7265625" style="12" bestFit="1" customWidth="1"/>
    <col min="10" max="10" width="26.54296875" style="10" bestFit="1" customWidth="1"/>
    <col min="11" max="11" width="15.26953125" style="10" bestFit="1" customWidth="1"/>
    <col min="12" max="12" width="2.54296875" customWidth="1"/>
    <col min="13" max="13" width="42.54296875" style="1" customWidth="1"/>
    <col min="14" max="14" width="17.7265625" style="3" bestFit="1" customWidth="1"/>
    <col min="15" max="15" width="26.54296875" style="11" bestFit="1" customWidth="1"/>
    <col min="16" max="16" width="24.81640625" style="11" bestFit="1" customWidth="1"/>
    <col min="17" max="17" width="19.1796875" style="11" bestFit="1" customWidth="1"/>
    <col min="18" max="18" width="26.1796875" style="11" bestFit="1" customWidth="1"/>
    <col min="19" max="19" width="25.453125" style="3" bestFit="1" customWidth="1"/>
    <col min="20" max="20" width="20.54296875" style="3" customWidth="1"/>
    <col min="21" max="16384" width="10.81640625" style="1"/>
  </cols>
  <sheetData>
    <row r="1" spans="1:20" x14ac:dyDescent="0.35">
      <c r="B1" s="23"/>
      <c r="C1" s="97"/>
      <c r="D1" s="19"/>
      <c r="E1" s="19"/>
      <c r="F1" s="19"/>
      <c r="G1" s="13"/>
      <c r="H1" s="14"/>
      <c r="I1" s="15"/>
      <c r="J1" s="7"/>
      <c r="K1" s="7"/>
      <c r="M1" s="17"/>
      <c r="N1" s="16"/>
      <c r="O1" s="14"/>
      <c r="P1" s="14"/>
      <c r="Q1" s="14"/>
      <c r="R1" s="14"/>
      <c r="S1" s="16"/>
      <c r="T1" s="16"/>
    </row>
    <row r="2" spans="1:20" ht="19" x14ac:dyDescent="0.35">
      <c r="B2" s="19"/>
      <c r="C2" s="19"/>
      <c r="D2" s="127" t="s">
        <v>86</v>
      </c>
      <c r="E2" s="128"/>
      <c r="F2" s="128"/>
      <c r="G2" s="128"/>
      <c r="H2" s="128"/>
      <c r="I2" s="128"/>
      <c r="J2" s="128"/>
      <c r="K2" s="129"/>
      <c r="M2" s="17"/>
      <c r="N2" s="19"/>
      <c r="O2" s="18"/>
      <c r="P2" s="16"/>
      <c r="Q2" s="16"/>
      <c r="R2" s="16"/>
      <c r="S2" s="16"/>
      <c r="T2" s="14"/>
    </row>
    <row r="3" spans="1:20" x14ac:dyDescent="0.35">
      <c r="B3" s="19"/>
      <c r="C3" s="19"/>
      <c r="D3" s="19"/>
      <c r="E3" s="19"/>
      <c r="F3" s="19"/>
      <c r="G3" s="13"/>
      <c r="H3"/>
      <c r="I3"/>
      <c r="J3"/>
      <c r="K3"/>
      <c r="M3"/>
      <c r="N3" s="16"/>
      <c r="O3" s="14"/>
      <c r="P3" s="14"/>
      <c r="Q3" s="14"/>
      <c r="R3" s="14"/>
      <c r="S3" s="16"/>
      <c r="T3" s="16"/>
    </row>
    <row r="4" spans="1:20" ht="15.5" x14ac:dyDescent="0.35">
      <c r="C4" s="19"/>
      <c r="D4" s="19"/>
      <c r="E4" s="19"/>
      <c r="F4" s="19"/>
      <c r="G4" s="25"/>
      <c r="H4" s="130" t="s">
        <v>85</v>
      </c>
      <c r="I4" s="130"/>
      <c r="J4" s="130"/>
      <c r="K4" s="130"/>
      <c r="M4" s="130" t="s">
        <v>89</v>
      </c>
      <c r="N4" s="130"/>
      <c r="O4" s="130"/>
      <c r="P4" s="130"/>
      <c r="Q4" s="130"/>
      <c r="R4" s="130"/>
      <c r="S4" s="130"/>
      <c r="T4" s="130"/>
    </row>
    <row r="5" spans="1:20" s="96" customFormat="1" ht="31" x14ac:dyDescent="0.35">
      <c r="A5" s="121"/>
      <c r="B5" s="95" t="s">
        <v>75</v>
      </c>
      <c r="C5" s="95" t="s">
        <v>76</v>
      </c>
      <c r="D5" s="95" t="s">
        <v>77</v>
      </c>
      <c r="E5" s="95" t="s">
        <v>78</v>
      </c>
      <c r="F5" s="95" t="s">
        <v>79</v>
      </c>
      <c r="G5" s="95" t="s">
        <v>87</v>
      </c>
      <c r="H5" s="95" t="s">
        <v>0</v>
      </c>
      <c r="I5" s="95" t="s">
        <v>1</v>
      </c>
      <c r="J5" s="95" t="s">
        <v>2</v>
      </c>
      <c r="K5" s="125" t="s">
        <v>88</v>
      </c>
      <c r="L5"/>
      <c r="M5" s="126" t="s">
        <v>81</v>
      </c>
      <c r="N5" s="95" t="s">
        <v>1</v>
      </c>
      <c r="O5" s="95" t="s">
        <v>2</v>
      </c>
      <c r="P5" s="95" t="s">
        <v>35</v>
      </c>
      <c r="Q5" s="95" t="s">
        <v>36</v>
      </c>
      <c r="R5" s="95" t="s">
        <v>37</v>
      </c>
      <c r="S5" s="95" t="s">
        <v>91</v>
      </c>
      <c r="T5" s="95" t="s">
        <v>90</v>
      </c>
    </row>
    <row r="6" spans="1:20" x14ac:dyDescent="0.35">
      <c r="B6" s="52"/>
      <c r="C6" s="52"/>
      <c r="D6" s="52"/>
      <c r="E6" s="52"/>
      <c r="F6" s="52"/>
      <c r="G6" s="89"/>
      <c r="H6" s="4"/>
      <c r="I6" s="26"/>
      <c r="J6" s="27"/>
      <c r="K6" s="27"/>
      <c r="M6" s="8"/>
      <c r="N6" s="6"/>
      <c r="O6" s="5"/>
      <c r="P6" s="5"/>
      <c r="Q6" s="5"/>
      <c r="R6" s="5"/>
      <c r="S6" s="6"/>
      <c r="T6" s="6"/>
    </row>
    <row r="7" spans="1:20" x14ac:dyDescent="0.35">
      <c r="A7" s="120" t="s">
        <v>82</v>
      </c>
      <c r="B7" s="53">
        <v>1</v>
      </c>
      <c r="C7" s="53"/>
      <c r="D7" s="53"/>
      <c r="E7" s="54"/>
      <c r="F7" s="54"/>
      <c r="G7" s="90" t="s">
        <v>38</v>
      </c>
      <c r="H7" s="55"/>
      <c r="I7" s="56"/>
      <c r="J7" s="57"/>
      <c r="K7" s="58"/>
      <c r="M7" s="59"/>
      <c r="N7" s="60"/>
      <c r="O7" s="57"/>
      <c r="P7" s="57"/>
      <c r="Q7" s="57"/>
      <c r="R7" s="57"/>
      <c r="S7" s="60"/>
      <c r="T7" s="60"/>
    </row>
    <row r="8" spans="1:20" x14ac:dyDescent="0.35">
      <c r="A8" s="120" t="s">
        <v>83</v>
      </c>
      <c r="B8" s="67" t="s">
        <v>39</v>
      </c>
      <c r="C8" s="67"/>
      <c r="D8" s="67"/>
      <c r="E8" s="68"/>
      <c r="F8" s="68"/>
      <c r="G8" s="91" t="s">
        <v>3</v>
      </c>
      <c r="H8" s="69"/>
      <c r="I8" s="70"/>
      <c r="J8" s="71"/>
      <c r="K8" s="69">
        <f>SUM(K9:K9)</f>
        <v>252000</v>
      </c>
      <c r="M8" s="68"/>
      <c r="N8" s="67"/>
      <c r="O8" s="72"/>
      <c r="P8" s="72" t="e">
        <f>+SUM(P9)</f>
        <v>#REF!</v>
      </c>
      <c r="Q8" s="73">
        <f>IFERROR(P8/K8,0)</f>
        <v>0</v>
      </c>
      <c r="R8" s="72" t="e">
        <f>K8-P8</f>
        <v>#REF!</v>
      </c>
      <c r="S8" s="74"/>
      <c r="T8" s="67"/>
    </row>
    <row r="9" spans="1:20" x14ac:dyDescent="0.35">
      <c r="A9" s="120" t="s">
        <v>84</v>
      </c>
      <c r="B9" s="26" t="s">
        <v>40</v>
      </c>
      <c r="C9" s="26"/>
      <c r="D9" s="26"/>
      <c r="E9" s="89"/>
      <c r="F9" s="89"/>
      <c r="G9" s="98" t="s">
        <v>92</v>
      </c>
      <c r="H9" s="27" t="s">
        <v>4</v>
      </c>
      <c r="I9" s="99">
        <v>36</v>
      </c>
      <c r="J9" s="4">
        <v>7000</v>
      </c>
      <c r="K9" s="100">
        <f>J9*I9</f>
        <v>252000</v>
      </c>
      <c r="M9" s="28"/>
      <c r="N9" s="26" t="e">
        <f>SUM(#REF!)</f>
        <v>#REF!</v>
      </c>
      <c r="O9" s="102">
        <f>+IFERROR(P9/N9,0)</f>
        <v>0</v>
      </c>
      <c r="P9" s="102" t="e">
        <f>SUM(#REF!)</f>
        <v>#REF!</v>
      </c>
      <c r="Q9" s="103">
        <f>IFERROR(P9/K9,0)</f>
        <v>0</v>
      </c>
      <c r="R9" s="102" t="e">
        <f>K9-P9</f>
        <v>#REF!</v>
      </c>
      <c r="S9" s="104"/>
      <c r="T9" s="99"/>
    </row>
    <row r="10" spans="1:20" x14ac:dyDescent="0.35">
      <c r="B10" s="26"/>
      <c r="C10" s="26"/>
      <c r="D10" s="26"/>
      <c r="E10" s="89"/>
      <c r="F10" s="89"/>
      <c r="G10" s="98"/>
      <c r="H10" s="27"/>
      <c r="I10" s="99"/>
      <c r="J10" s="118"/>
      <c r="K10" s="100"/>
      <c r="M10" s="28"/>
      <c r="N10" s="26"/>
      <c r="O10" s="102"/>
      <c r="P10" s="102"/>
      <c r="Q10" s="103"/>
      <c r="R10" s="102"/>
      <c r="S10" s="104"/>
      <c r="T10" s="99"/>
    </row>
    <row r="11" spans="1:20" x14ac:dyDescent="0.35">
      <c r="B11" s="26"/>
      <c r="C11" s="26"/>
      <c r="D11" s="26"/>
      <c r="E11" s="89"/>
      <c r="F11" s="89"/>
      <c r="G11" s="105"/>
      <c r="H11" s="106"/>
      <c r="I11" s="107"/>
      <c r="J11" s="108"/>
      <c r="K11" s="109"/>
      <c r="M11" s="34"/>
      <c r="N11" s="6"/>
      <c r="O11" s="5"/>
      <c r="P11" s="5"/>
      <c r="Q11" s="5"/>
      <c r="R11" s="5"/>
      <c r="S11" s="6"/>
      <c r="T11" s="110"/>
    </row>
    <row r="12" spans="1:20" x14ac:dyDescent="0.35">
      <c r="A12" s="120" t="s">
        <v>83</v>
      </c>
      <c r="B12" s="67" t="s">
        <v>41</v>
      </c>
      <c r="C12" s="67"/>
      <c r="D12" s="67"/>
      <c r="E12" s="68"/>
      <c r="F12" s="68"/>
      <c r="G12" s="91" t="s">
        <v>5</v>
      </c>
      <c r="H12" s="75"/>
      <c r="I12" s="76"/>
      <c r="J12" s="71"/>
      <c r="K12" s="77">
        <f>+SUM(K13,K16,K19)</f>
        <v>505800</v>
      </c>
      <c r="M12" s="78"/>
      <c r="N12" s="75"/>
      <c r="O12" s="77"/>
      <c r="P12" s="77" t="e">
        <f>+SUM(P13,P16,P19)</f>
        <v>#REF!</v>
      </c>
      <c r="Q12" s="73">
        <f>IFERROR(P12/K12,0)</f>
        <v>0</v>
      </c>
      <c r="R12" s="72" t="e">
        <f>K12-P12</f>
        <v>#REF!</v>
      </c>
      <c r="S12" s="74"/>
      <c r="T12" s="75"/>
    </row>
    <row r="13" spans="1:20" x14ac:dyDescent="0.35">
      <c r="A13" s="120" t="s">
        <v>84</v>
      </c>
      <c r="B13" s="26" t="s">
        <v>42</v>
      </c>
      <c r="C13" s="26"/>
      <c r="D13" s="26"/>
      <c r="E13" s="89"/>
      <c r="F13" s="89"/>
      <c r="G13" s="98" t="s">
        <v>93</v>
      </c>
      <c r="H13" s="27" t="s">
        <v>4</v>
      </c>
      <c r="I13" s="99">
        <v>36</v>
      </c>
      <c r="J13" s="4">
        <v>5000</v>
      </c>
      <c r="K13" s="100">
        <v>180000</v>
      </c>
      <c r="M13" s="28"/>
      <c r="N13" s="26" t="e">
        <f>SUM(#REF!)</f>
        <v>#REF!</v>
      </c>
      <c r="O13" s="102">
        <f>+IFERROR(P13/N13,0)</f>
        <v>0</v>
      </c>
      <c r="P13" s="102" t="e">
        <f>SUM(#REF!)</f>
        <v>#REF!</v>
      </c>
      <c r="Q13" s="103">
        <f>IFERROR(P13/K13,0)</f>
        <v>0</v>
      </c>
      <c r="R13" s="102" t="e">
        <f>K13-P13</f>
        <v>#REF!</v>
      </c>
      <c r="S13" s="104"/>
      <c r="T13" s="99"/>
    </row>
    <row r="14" spans="1:20" x14ac:dyDescent="0.35">
      <c r="B14" s="26"/>
      <c r="C14" s="26"/>
      <c r="D14" s="26"/>
      <c r="E14" s="89"/>
      <c r="F14" s="89"/>
      <c r="G14" s="98"/>
      <c r="H14" s="27"/>
      <c r="I14" s="99"/>
      <c r="J14" s="4"/>
      <c r="K14" s="100"/>
      <c r="M14" s="28"/>
      <c r="N14" s="26"/>
      <c r="O14" s="102"/>
      <c r="P14" s="102"/>
      <c r="Q14" s="103"/>
      <c r="R14" s="102"/>
      <c r="S14" s="104"/>
      <c r="T14" s="99"/>
    </row>
    <row r="15" spans="1:20" s="50" customFormat="1" x14ac:dyDescent="0.35">
      <c r="A15" s="120"/>
      <c r="B15" s="20"/>
      <c r="C15" s="31"/>
      <c r="D15" s="31"/>
      <c r="E15" s="32"/>
      <c r="F15" s="32"/>
      <c r="G15" s="92"/>
      <c r="H15" s="20"/>
      <c r="I15" s="20"/>
      <c r="J15" s="21"/>
      <c r="K15" s="22"/>
      <c r="L15"/>
      <c r="M15" s="30"/>
      <c r="N15" s="20"/>
      <c r="O15" s="33"/>
      <c r="P15" s="33"/>
      <c r="Q15" s="33"/>
      <c r="R15" s="21"/>
      <c r="S15" s="20"/>
      <c r="T15" s="20"/>
    </row>
    <row r="16" spans="1:20" x14ac:dyDescent="0.35">
      <c r="A16" s="120" t="s">
        <v>84</v>
      </c>
      <c r="B16" s="26" t="s">
        <v>43</v>
      </c>
      <c r="C16" s="26"/>
      <c r="D16" s="26"/>
      <c r="E16" s="89"/>
      <c r="F16" s="89"/>
      <c r="G16" s="98" t="s">
        <v>94</v>
      </c>
      <c r="H16" s="27" t="s">
        <v>4</v>
      </c>
      <c r="I16" s="99">
        <v>36</v>
      </c>
      <c r="J16" s="4">
        <v>4500</v>
      </c>
      <c r="K16" s="100">
        <f>+J16*I16</f>
        <v>162000</v>
      </c>
      <c r="M16" s="28"/>
      <c r="N16" s="26" t="e">
        <f>SUM(#REF!)</f>
        <v>#REF!</v>
      </c>
      <c r="O16" s="102">
        <f>+IFERROR(P16/N16,0)</f>
        <v>0</v>
      </c>
      <c r="P16" s="102" t="e">
        <f>SUM(#REF!)</f>
        <v>#REF!</v>
      </c>
      <c r="Q16" s="103">
        <f>IFERROR(P16/K16,0)</f>
        <v>0</v>
      </c>
      <c r="R16" s="102" t="e">
        <f>K16-P16</f>
        <v>#REF!</v>
      </c>
      <c r="S16" s="104"/>
      <c r="T16" s="99"/>
    </row>
    <row r="17" spans="1:20" x14ac:dyDescent="0.35">
      <c r="B17" s="26"/>
      <c r="C17" s="26"/>
      <c r="D17" s="26"/>
      <c r="E17" s="89"/>
      <c r="F17" s="89"/>
      <c r="G17" s="98"/>
      <c r="H17" s="27"/>
      <c r="I17" s="99"/>
      <c r="J17" s="4"/>
      <c r="K17" s="100"/>
      <c r="M17" s="28"/>
      <c r="N17" s="26"/>
      <c r="O17" s="102"/>
      <c r="P17" s="102"/>
      <c r="Q17" s="103"/>
      <c r="R17" s="102"/>
      <c r="S17" s="104"/>
      <c r="T17" s="99"/>
    </row>
    <row r="18" spans="1:20" s="50" customFormat="1" x14ac:dyDescent="0.35">
      <c r="A18" s="120"/>
      <c r="B18" s="20"/>
      <c r="C18" s="31"/>
      <c r="D18" s="31"/>
      <c r="E18" s="32"/>
      <c r="F18" s="32"/>
      <c r="G18" s="92"/>
      <c r="H18" s="20"/>
      <c r="I18" s="20"/>
      <c r="J18" s="21"/>
      <c r="K18" s="22"/>
      <c r="L18"/>
      <c r="M18" s="30"/>
      <c r="N18" s="20"/>
      <c r="O18" s="33"/>
      <c r="P18" s="33"/>
      <c r="Q18" s="33"/>
      <c r="R18" s="21"/>
      <c r="S18" s="20"/>
      <c r="T18" s="20"/>
    </row>
    <row r="19" spans="1:20" x14ac:dyDescent="0.35">
      <c r="A19" s="120" t="s">
        <v>84</v>
      </c>
      <c r="B19" s="26" t="s">
        <v>44</v>
      </c>
      <c r="C19" s="26"/>
      <c r="D19" s="26"/>
      <c r="E19" s="89"/>
      <c r="F19" s="89"/>
      <c r="G19" s="98" t="s">
        <v>95</v>
      </c>
      <c r="H19" s="27" t="s">
        <v>4</v>
      </c>
      <c r="I19" s="99">
        <v>39</v>
      </c>
      <c r="J19" s="4">
        <v>4200</v>
      </c>
      <c r="K19" s="100">
        <v>163800</v>
      </c>
      <c r="M19" s="28"/>
      <c r="N19" s="26" t="e">
        <f>SUM(#REF!)</f>
        <v>#REF!</v>
      </c>
      <c r="O19" s="102">
        <f>+IFERROR(P19/N19,0)</f>
        <v>0</v>
      </c>
      <c r="P19" s="102" t="e">
        <f>SUM(#REF!)</f>
        <v>#REF!</v>
      </c>
      <c r="Q19" s="103">
        <f>IFERROR(P19/K19,0)</f>
        <v>0</v>
      </c>
      <c r="R19" s="102" t="e">
        <f>K19-P19</f>
        <v>#REF!</v>
      </c>
      <c r="S19" s="104"/>
      <c r="T19" s="99"/>
    </row>
    <row r="20" spans="1:20" s="50" customFormat="1" x14ac:dyDescent="0.35">
      <c r="A20" s="120"/>
      <c r="B20" s="20"/>
      <c r="C20" s="31"/>
      <c r="D20" s="31"/>
      <c r="E20" s="32"/>
      <c r="F20" s="32"/>
      <c r="G20" s="92"/>
      <c r="H20" s="20"/>
      <c r="I20" s="20"/>
      <c r="J20" s="21"/>
      <c r="K20" s="22"/>
      <c r="L20"/>
      <c r="M20" s="30"/>
      <c r="N20" s="20"/>
      <c r="O20" s="33"/>
      <c r="P20" s="33"/>
      <c r="Q20" s="33"/>
      <c r="R20" s="21"/>
      <c r="S20" s="20"/>
      <c r="T20" s="20"/>
    </row>
    <row r="21" spans="1:20" s="50" customFormat="1" x14ac:dyDescent="0.35">
      <c r="A21" s="120"/>
      <c r="B21" s="20"/>
      <c r="C21" s="31"/>
      <c r="D21" s="31"/>
      <c r="E21" s="32"/>
      <c r="F21" s="32"/>
      <c r="G21" s="92"/>
      <c r="H21" s="20"/>
      <c r="I21" s="20"/>
      <c r="J21" s="21"/>
      <c r="K21" s="22"/>
      <c r="L21"/>
      <c r="M21" s="30"/>
      <c r="N21" s="20"/>
      <c r="O21" s="33"/>
      <c r="P21" s="33"/>
      <c r="Q21" s="33"/>
      <c r="R21" s="21"/>
      <c r="S21" s="20"/>
      <c r="T21" s="20"/>
    </row>
    <row r="22" spans="1:20" x14ac:dyDescent="0.35">
      <c r="B22" s="35" t="s">
        <v>45</v>
      </c>
      <c r="C22" s="35"/>
      <c r="D22" s="35"/>
      <c r="E22" s="36"/>
      <c r="F22" s="36"/>
      <c r="G22" s="93" t="s">
        <v>6</v>
      </c>
      <c r="H22" s="37"/>
      <c r="I22" s="37"/>
      <c r="J22" s="37"/>
      <c r="K22" s="38">
        <f>+SUM(K12,K8)</f>
        <v>757800</v>
      </c>
      <c r="M22" s="39"/>
      <c r="N22" s="40"/>
      <c r="O22" s="38"/>
      <c r="P22" s="38" t="e">
        <f>+SUM(P12,P8)</f>
        <v>#REF!</v>
      </c>
      <c r="Q22" s="42">
        <f>IFERROR(P22/K22,0)</f>
        <v>0</v>
      </c>
      <c r="R22" s="41" t="e">
        <f>K22-P22</f>
        <v>#REF!</v>
      </c>
      <c r="S22" s="48"/>
      <c r="T22" s="35"/>
    </row>
    <row r="23" spans="1:20" x14ac:dyDescent="0.35">
      <c r="A23" s="120" t="s">
        <v>82</v>
      </c>
      <c r="B23" s="53">
        <v>2</v>
      </c>
      <c r="C23" s="53"/>
      <c r="D23" s="53"/>
      <c r="E23" s="54"/>
      <c r="F23" s="54"/>
      <c r="G23" s="90" t="s">
        <v>7</v>
      </c>
      <c r="H23" s="55"/>
      <c r="I23" s="56"/>
      <c r="J23" s="55"/>
      <c r="K23" s="61"/>
      <c r="M23" s="62"/>
      <c r="N23" s="60"/>
      <c r="O23" s="57"/>
      <c r="P23" s="57"/>
      <c r="Q23" s="57"/>
      <c r="R23" s="57"/>
      <c r="S23" s="60"/>
      <c r="T23" s="60"/>
    </row>
    <row r="24" spans="1:20" x14ac:dyDescent="0.35">
      <c r="A24" s="120" t="s">
        <v>83</v>
      </c>
      <c r="B24" s="67" t="s">
        <v>46</v>
      </c>
      <c r="C24" s="67"/>
      <c r="D24" s="67"/>
      <c r="E24" s="68"/>
      <c r="F24" s="68"/>
      <c r="G24" s="91" t="s">
        <v>8</v>
      </c>
      <c r="H24" s="69"/>
      <c r="I24" s="70"/>
      <c r="J24" s="69"/>
      <c r="K24" s="72">
        <f>+SUM(K25,K28,K31,K34,K37,K40,K43,K46,K49,K52)</f>
        <v>2084700.0000000002</v>
      </c>
      <c r="M24" s="79"/>
      <c r="N24" s="75"/>
      <c r="O24" s="72"/>
      <c r="P24" s="72" t="e">
        <f>+SUM(P25,P28,P31,P34,P37,P40,P43,P46,P49,P52)</f>
        <v>#REF!</v>
      </c>
      <c r="Q24" s="73">
        <f>IFERROR(P24/K24,0)</f>
        <v>0</v>
      </c>
      <c r="R24" s="72" t="e">
        <f>K24-P24</f>
        <v>#REF!</v>
      </c>
      <c r="S24" s="74"/>
      <c r="T24" s="75"/>
    </row>
    <row r="25" spans="1:20" x14ac:dyDescent="0.35">
      <c r="A25" s="120" t="s">
        <v>84</v>
      </c>
      <c r="B25" s="26" t="s">
        <v>47</v>
      </c>
      <c r="C25" s="26"/>
      <c r="D25" s="26"/>
      <c r="E25" s="89"/>
      <c r="F25" s="89"/>
      <c r="G25" s="98" t="s">
        <v>9</v>
      </c>
      <c r="H25" s="27" t="s">
        <v>10</v>
      </c>
      <c r="I25" s="99">
        <v>131.90969000000001</v>
      </c>
      <c r="J25" s="4">
        <v>350</v>
      </c>
      <c r="K25" s="100">
        <v>46168.39</v>
      </c>
      <c r="M25" s="101"/>
      <c r="N25" s="26" t="e">
        <f>SUM(#REF!)</f>
        <v>#REF!</v>
      </c>
      <c r="O25" s="29">
        <f>+IFERROR(P25/N25,0)</f>
        <v>0</v>
      </c>
      <c r="P25" s="29" t="e">
        <f>SUM(#REF!)</f>
        <v>#REF!</v>
      </c>
      <c r="Q25" s="103">
        <f>IFERROR(P25/K25,0)</f>
        <v>0</v>
      </c>
      <c r="R25" s="102" t="e">
        <f>K25-P25</f>
        <v>#REF!</v>
      </c>
      <c r="S25" s="104"/>
      <c r="T25" s="99"/>
    </row>
    <row r="26" spans="1:20" x14ac:dyDescent="0.35">
      <c r="B26" s="26"/>
      <c r="C26" s="26"/>
      <c r="D26" s="26"/>
      <c r="E26" s="89"/>
      <c r="F26" s="89"/>
      <c r="G26" s="98"/>
      <c r="H26" s="27"/>
      <c r="I26" s="99"/>
      <c r="J26" s="4"/>
      <c r="K26" s="100"/>
      <c r="M26" s="28"/>
      <c r="N26" s="26"/>
      <c r="O26" s="102"/>
      <c r="P26" s="102"/>
      <c r="Q26" s="103"/>
      <c r="R26" s="102"/>
      <c r="S26" s="104"/>
      <c r="T26" s="99"/>
    </row>
    <row r="27" spans="1:20" x14ac:dyDescent="0.35">
      <c r="B27" s="20"/>
      <c r="C27" s="31"/>
      <c r="D27" s="31"/>
      <c r="E27" s="32"/>
      <c r="F27" s="32"/>
      <c r="G27" s="92"/>
      <c r="H27" s="20"/>
      <c r="I27" s="20"/>
      <c r="J27" s="21"/>
      <c r="K27" s="22"/>
      <c r="M27" s="30"/>
      <c r="N27" s="20"/>
      <c r="O27" s="43"/>
      <c r="P27" s="43"/>
      <c r="Q27" s="43"/>
      <c r="R27" s="21"/>
      <c r="S27" s="20"/>
      <c r="T27" s="20"/>
    </row>
    <row r="28" spans="1:20" x14ac:dyDescent="0.35">
      <c r="A28" s="120" t="s">
        <v>84</v>
      </c>
      <c r="B28" s="26" t="s">
        <v>48</v>
      </c>
      <c r="C28" s="26"/>
      <c r="D28" s="26"/>
      <c r="E28" s="89"/>
      <c r="F28" s="89"/>
      <c r="G28" s="98" t="s">
        <v>11</v>
      </c>
      <c r="H28" s="27" t="s">
        <v>10</v>
      </c>
      <c r="I28" s="99">
        <v>891</v>
      </c>
      <c r="J28" s="4">
        <v>450</v>
      </c>
      <c r="K28" s="100">
        <v>400950</v>
      </c>
      <c r="M28" s="101"/>
      <c r="N28" s="26" t="e">
        <f>SUM(#REF!)</f>
        <v>#REF!</v>
      </c>
      <c r="O28" s="29">
        <f>+IFERROR(P28/N28,0)</f>
        <v>0</v>
      </c>
      <c r="P28" s="29" t="e">
        <f>SUM(#REF!)</f>
        <v>#REF!</v>
      </c>
      <c r="Q28" s="103">
        <f>IFERROR(P28/K28,0)</f>
        <v>0</v>
      </c>
      <c r="R28" s="102" t="e">
        <f>K28-P28</f>
        <v>#REF!</v>
      </c>
      <c r="S28" s="104"/>
      <c r="T28" s="99"/>
    </row>
    <row r="29" spans="1:20" x14ac:dyDescent="0.35">
      <c r="B29" s="26"/>
      <c r="C29" s="26"/>
      <c r="D29" s="26"/>
      <c r="E29" s="89"/>
      <c r="F29" s="89"/>
      <c r="G29" s="98"/>
      <c r="H29" s="27"/>
      <c r="I29" s="99"/>
      <c r="J29" s="4"/>
      <c r="K29" s="100"/>
      <c r="M29" s="28"/>
      <c r="N29" s="26"/>
      <c r="O29" s="102"/>
      <c r="P29" s="102"/>
      <c r="Q29" s="103"/>
      <c r="R29" s="102"/>
      <c r="S29" s="104"/>
      <c r="T29" s="99"/>
    </row>
    <row r="30" spans="1:20" s="50" customFormat="1" x14ac:dyDescent="0.35">
      <c r="A30" s="120"/>
      <c r="B30" s="20"/>
      <c r="C30" s="31"/>
      <c r="D30" s="31"/>
      <c r="E30" s="32"/>
      <c r="F30" s="32"/>
      <c r="G30" s="92"/>
      <c r="H30" s="20"/>
      <c r="I30" s="20"/>
      <c r="J30" s="21"/>
      <c r="K30" s="22"/>
      <c r="L30"/>
      <c r="M30" s="30"/>
      <c r="N30" s="20"/>
      <c r="O30" s="33"/>
      <c r="P30" s="33"/>
      <c r="Q30" s="33"/>
      <c r="R30" s="21"/>
      <c r="S30" s="20"/>
      <c r="T30" s="20"/>
    </row>
    <row r="31" spans="1:20" x14ac:dyDescent="0.35">
      <c r="A31" s="120" t="s">
        <v>84</v>
      </c>
      <c r="B31" s="26" t="s">
        <v>49</v>
      </c>
      <c r="C31" s="26"/>
      <c r="D31" s="26"/>
      <c r="E31" s="89"/>
      <c r="F31" s="89"/>
      <c r="G31" s="98" t="s">
        <v>12</v>
      </c>
      <c r="H31" s="27" t="s">
        <v>10</v>
      </c>
      <c r="I31" s="99">
        <v>2182</v>
      </c>
      <c r="J31" s="4">
        <v>165</v>
      </c>
      <c r="K31" s="100">
        <v>360030</v>
      </c>
      <c r="M31" s="101"/>
      <c r="N31" s="26" t="e">
        <f>SUM(#REF!)</f>
        <v>#REF!</v>
      </c>
      <c r="O31" s="29">
        <f>+IFERROR(P31/N31,0)</f>
        <v>0</v>
      </c>
      <c r="P31" s="29" t="e">
        <f>SUM(#REF!)</f>
        <v>#REF!</v>
      </c>
      <c r="Q31" s="103">
        <f>IFERROR(P31/K31,0)</f>
        <v>0</v>
      </c>
      <c r="R31" s="102" t="e">
        <f>K31-P31</f>
        <v>#REF!</v>
      </c>
      <c r="S31" s="104"/>
      <c r="T31" s="99"/>
    </row>
    <row r="32" spans="1:20" x14ac:dyDescent="0.35">
      <c r="B32" s="26"/>
      <c r="C32" s="26"/>
      <c r="D32" s="26"/>
      <c r="E32" s="89"/>
      <c r="F32" s="89"/>
      <c r="G32" s="98"/>
      <c r="H32" s="27"/>
      <c r="I32" s="99"/>
      <c r="J32" s="4"/>
      <c r="K32" s="100"/>
      <c r="M32" s="28"/>
      <c r="N32" s="26"/>
      <c r="O32" s="102"/>
      <c r="P32" s="102"/>
      <c r="Q32" s="103"/>
      <c r="R32" s="102"/>
      <c r="S32" s="104"/>
      <c r="T32" s="99"/>
    </row>
    <row r="33" spans="1:20" s="50" customFormat="1" x14ac:dyDescent="0.35">
      <c r="A33" s="120"/>
      <c r="B33" s="20"/>
      <c r="C33" s="31"/>
      <c r="D33" s="31"/>
      <c r="E33" s="32"/>
      <c r="F33" s="32"/>
      <c r="G33" s="92"/>
      <c r="H33" s="20"/>
      <c r="I33" s="20"/>
      <c r="J33" s="21"/>
      <c r="K33" s="22"/>
      <c r="L33"/>
      <c r="M33" s="30"/>
      <c r="N33" s="20"/>
      <c r="O33" s="33"/>
      <c r="P33" s="33"/>
      <c r="Q33" s="33"/>
      <c r="R33" s="21"/>
      <c r="S33" s="20"/>
      <c r="T33" s="20"/>
    </row>
    <row r="34" spans="1:20" x14ac:dyDescent="0.35">
      <c r="A34" s="120" t="s">
        <v>84</v>
      </c>
      <c r="B34" s="26" t="s">
        <v>50</v>
      </c>
      <c r="C34" s="26"/>
      <c r="D34" s="26"/>
      <c r="E34" s="89"/>
      <c r="F34" s="89"/>
      <c r="G34" s="98" t="s">
        <v>13</v>
      </c>
      <c r="H34" s="27" t="s">
        <v>14</v>
      </c>
      <c r="I34" s="99">
        <v>1</v>
      </c>
      <c r="J34" s="4">
        <f>+K34</f>
        <v>353230</v>
      </c>
      <c r="K34" s="100">
        <v>353230</v>
      </c>
      <c r="M34" s="101"/>
      <c r="N34" s="26" t="e">
        <f>SUM(#REF!)</f>
        <v>#REF!</v>
      </c>
      <c r="O34" s="29">
        <f>+IFERROR(P34/N34,0)</f>
        <v>0</v>
      </c>
      <c r="P34" s="29" t="e">
        <f>SUM(#REF!)</f>
        <v>#REF!</v>
      </c>
      <c r="Q34" s="103">
        <f>IFERROR(P34/K34,0)</f>
        <v>0</v>
      </c>
      <c r="R34" s="102" t="e">
        <f>K34-P34</f>
        <v>#REF!</v>
      </c>
      <c r="S34" s="104"/>
      <c r="T34" s="99"/>
    </row>
    <row r="35" spans="1:20" x14ac:dyDescent="0.35">
      <c r="B35" s="26"/>
      <c r="C35" s="26"/>
      <c r="D35" s="26"/>
      <c r="E35" s="89"/>
      <c r="F35" s="89"/>
      <c r="G35" s="98"/>
      <c r="H35" s="27"/>
      <c r="I35" s="99"/>
      <c r="J35" s="4"/>
      <c r="K35" s="100"/>
      <c r="M35" s="28"/>
      <c r="N35" s="26"/>
      <c r="O35" s="102"/>
      <c r="P35" s="102"/>
      <c r="Q35" s="103"/>
      <c r="R35" s="102"/>
      <c r="S35" s="104"/>
      <c r="T35" s="99"/>
    </row>
    <row r="36" spans="1:20" x14ac:dyDescent="0.35">
      <c r="B36" s="26"/>
      <c r="C36" s="26"/>
      <c r="D36" s="26"/>
      <c r="E36" s="89"/>
      <c r="F36" s="89"/>
      <c r="G36" s="92"/>
      <c r="H36" s="20"/>
      <c r="I36" s="20"/>
      <c r="J36" s="21"/>
      <c r="K36" s="22"/>
      <c r="M36" s="30"/>
      <c r="N36" s="6"/>
      <c r="O36" s="5"/>
      <c r="P36" s="5"/>
      <c r="Q36" s="5"/>
      <c r="R36" s="5"/>
      <c r="S36" s="6"/>
      <c r="T36" s="107"/>
    </row>
    <row r="37" spans="1:20" x14ac:dyDescent="0.35">
      <c r="A37" s="120" t="s">
        <v>84</v>
      </c>
      <c r="B37" s="26" t="s">
        <v>51</v>
      </c>
      <c r="C37" s="26"/>
      <c r="D37" s="26"/>
      <c r="E37" s="89"/>
      <c r="F37" s="89"/>
      <c r="G37" s="98" t="s">
        <v>15</v>
      </c>
      <c r="H37" s="27" t="s">
        <v>14</v>
      </c>
      <c r="I37" s="99">
        <v>1</v>
      </c>
      <c r="J37" s="4">
        <f>+K37</f>
        <v>30000</v>
      </c>
      <c r="K37" s="100">
        <v>30000</v>
      </c>
      <c r="M37" s="101"/>
      <c r="N37" s="26">
        <f>SUM(N38:N39)</f>
        <v>0</v>
      </c>
      <c r="O37" s="29">
        <f>+IFERROR(P37/N37,0)</f>
        <v>0</v>
      </c>
      <c r="P37" s="29">
        <f>SUM(P38:P39)</f>
        <v>0</v>
      </c>
      <c r="Q37" s="103">
        <f>IFERROR(P37/K37,0)</f>
        <v>0</v>
      </c>
      <c r="R37" s="102">
        <f>K37-P37</f>
        <v>30000</v>
      </c>
      <c r="S37" s="104"/>
      <c r="T37" s="99"/>
    </row>
    <row r="38" spans="1:20" x14ac:dyDescent="0.35">
      <c r="B38" s="26"/>
      <c r="C38" s="26"/>
      <c r="D38" s="26"/>
      <c r="E38" s="89"/>
      <c r="F38" s="89"/>
      <c r="G38" s="98"/>
      <c r="H38" s="27"/>
      <c r="I38" s="99"/>
      <c r="J38" s="4"/>
      <c r="K38" s="100"/>
      <c r="M38" s="28"/>
      <c r="N38" s="26"/>
      <c r="O38" s="102"/>
      <c r="P38" s="102"/>
      <c r="Q38" s="103"/>
      <c r="R38" s="102"/>
      <c r="S38" s="104"/>
      <c r="T38" s="99"/>
    </row>
    <row r="39" spans="1:20" x14ac:dyDescent="0.35">
      <c r="B39" s="26"/>
      <c r="C39" s="26"/>
      <c r="D39" s="26"/>
      <c r="E39" s="89"/>
      <c r="F39" s="89"/>
      <c r="G39" s="98"/>
      <c r="H39" s="27"/>
      <c r="I39" s="99"/>
      <c r="J39" s="4"/>
      <c r="K39" s="100"/>
      <c r="M39" s="28"/>
      <c r="N39" s="26"/>
      <c r="O39" s="102"/>
      <c r="P39" s="102"/>
      <c r="Q39" s="103"/>
      <c r="R39" s="102"/>
      <c r="S39" s="104"/>
      <c r="T39" s="99"/>
    </row>
    <row r="40" spans="1:20" x14ac:dyDescent="0.35">
      <c r="A40" s="120" t="s">
        <v>84</v>
      </c>
      <c r="B40" s="26" t="s">
        <v>52</v>
      </c>
      <c r="C40" s="26"/>
      <c r="D40" s="26"/>
      <c r="E40" s="89"/>
      <c r="F40" s="89"/>
      <c r="G40" s="98" t="s">
        <v>16</v>
      </c>
      <c r="H40" s="27" t="s">
        <v>14</v>
      </c>
      <c r="I40" s="99">
        <v>1</v>
      </c>
      <c r="J40" s="4">
        <f>+K40</f>
        <v>100000</v>
      </c>
      <c r="K40" s="100">
        <v>100000</v>
      </c>
      <c r="M40" s="101"/>
      <c r="N40" s="26">
        <f>SUM(N41:N42)</f>
        <v>0</v>
      </c>
      <c r="O40" s="29">
        <f>+IFERROR(P40/N40,0)</f>
        <v>0</v>
      </c>
      <c r="P40" s="29">
        <f>SUM(P41:P42)</f>
        <v>0</v>
      </c>
      <c r="Q40" s="103">
        <f>IFERROR(P40/K40,0)</f>
        <v>0</v>
      </c>
      <c r="R40" s="102">
        <f>K40-P40</f>
        <v>100000</v>
      </c>
      <c r="S40" s="104"/>
      <c r="T40" s="99"/>
    </row>
    <row r="41" spans="1:20" x14ac:dyDescent="0.35">
      <c r="B41" s="26"/>
      <c r="C41" s="26"/>
      <c r="D41" s="26"/>
      <c r="E41" s="89"/>
      <c r="F41" s="89"/>
      <c r="G41" s="98"/>
      <c r="H41" s="27"/>
      <c r="I41" s="99"/>
      <c r="J41" s="4"/>
      <c r="K41" s="100"/>
      <c r="M41" s="28"/>
      <c r="N41" s="26"/>
      <c r="O41" s="102"/>
      <c r="P41" s="102"/>
      <c r="Q41" s="103"/>
      <c r="R41" s="102"/>
      <c r="S41" s="104"/>
      <c r="T41" s="99"/>
    </row>
    <row r="42" spans="1:20" s="50" customFormat="1" x14ac:dyDescent="0.35">
      <c r="A42" s="120"/>
      <c r="B42" s="20"/>
      <c r="C42" s="31"/>
      <c r="D42" s="31"/>
      <c r="E42" s="32"/>
      <c r="F42" s="32"/>
      <c r="G42" s="92"/>
      <c r="H42" s="20"/>
      <c r="I42" s="20"/>
      <c r="J42" s="21"/>
      <c r="K42" s="22"/>
      <c r="L42"/>
      <c r="M42" s="30"/>
      <c r="N42" s="20"/>
      <c r="O42" s="33"/>
      <c r="P42" s="33"/>
      <c r="Q42" s="33"/>
      <c r="R42" s="21"/>
      <c r="S42" s="20"/>
      <c r="T42" s="20"/>
    </row>
    <row r="43" spans="1:20" x14ac:dyDescent="0.35">
      <c r="A43" s="120" t="s">
        <v>84</v>
      </c>
      <c r="B43" s="26" t="s">
        <v>53</v>
      </c>
      <c r="C43" s="26"/>
      <c r="D43" s="26"/>
      <c r="E43" s="89"/>
      <c r="F43" s="89"/>
      <c r="G43" s="98" t="s">
        <v>73</v>
      </c>
      <c r="H43" s="27" t="s">
        <v>14</v>
      </c>
      <c r="I43" s="99">
        <v>1</v>
      </c>
      <c r="J43" s="4">
        <f>+K43</f>
        <v>40000</v>
      </c>
      <c r="K43" s="100">
        <v>40000</v>
      </c>
      <c r="M43" s="101"/>
      <c r="N43" s="26" t="e">
        <f>SUM(#REF!)</f>
        <v>#REF!</v>
      </c>
      <c r="O43" s="29">
        <f>+IFERROR(P43/N43,0)</f>
        <v>0</v>
      </c>
      <c r="P43" s="29" t="e">
        <f>SUM(#REF!)</f>
        <v>#REF!</v>
      </c>
      <c r="Q43" s="103">
        <f>IFERROR(P43/K43,0)</f>
        <v>0</v>
      </c>
      <c r="R43" s="102" t="e">
        <f>K43-P43</f>
        <v>#REF!</v>
      </c>
      <c r="S43" s="104"/>
      <c r="T43" s="99"/>
    </row>
    <row r="44" spans="1:20" x14ac:dyDescent="0.35">
      <c r="B44" s="26"/>
      <c r="C44" s="26"/>
      <c r="D44" s="26"/>
      <c r="E44" s="89"/>
      <c r="F44" s="89"/>
      <c r="G44" s="98"/>
      <c r="H44" s="27"/>
      <c r="I44" s="99"/>
      <c r="J44" s="4"/>
      <c r="K44" s="100"/>
      <c r="M44" s="28"/>
      <c r="N44" s="26"/>
      <c r="O44" s="102"/>
      <c r="P44" s="102"/>
      <c r="Q44" s="103"/>
      <c r="R44" s="102"/>
      <c r="S44" s="104"/>
      <c r="T44" s="99"/>
    </row>
    <row r="45" spans="1:20" s="50" customFormat="1" x14ac:dyDescent="0.35">
      <c r="A45" s="120"/>
      <c r="B45" s="20"/>
      <c r="C45" s="31"/>
      <c r="D45" s="31"/>
      <c r="E45" s="32"/>
      <c r="F45" s="32"/>
      <c r="G45" s="92"/>
      <c r="H45" s="20"/>
      <c r="I45" s="20"/>
      <c r="J45" s="21"/>
      <c r="K45" s="22"/>
      <c r="L45"/>
      <c r="M45" s="30"/>
      <c r="N45" s="20"/>
      <c r="O45" s="33"/>
      <c r="P45" s="33"/>
      <c r="Q45" s="33"/>
      <c r="R45" s="21"/>
      <c r="S45" s="20"/>
      <c r="T45" s="20"/>
    </row>
    <row r="46" spans="1:20" x14ac:dyDescent="0.35">
      <c r="A46" s="120" t="s">
        <v>84</v>
      </c>
      <c r="B46" s="26" t="s">
        <v>54</v>
      </c>
      <c r="C46" s="26"/>
      <c r="D46" s="26"/>
      <c r="E46" s="89"/>
      <c r="F46" s="89"/>
      <c r="G46" s="98" t="s">
        <v>17</v>
      </c>
      <c r="H46" s="27" t="s">
        <v>14</v>
      </c>
      <c r="I46" s="99">
        <v>1</v>
      </c>
      <c r="J46" s="4">
        <f>+K46</f>
        <v>258640</v>
      </c>
      <c r="K46" s="100">
        <v>258640</v>
      </c>
      <c r="M46" s="101"/>
      <c r="N46" s="26" t="e">
        <f>SUM(#REF!)</f>
        <v>#REF!</v>
      </c>
      <c r="O46" s="29">
        <f>+IFERROR(P46/N46,0)</f>
        <v>0</v>
      </c>
      <c r="P46" s="29" t="e">
        <f>SUM(#REF!)</f>
        <v>#REF!</v>
      </c>
      <c r="Q46" s="103">
        <f>IFERROR(P46/K46,0)</f>
        <v>0</v>
      </c>
      <c r="R46" s="102" t="e">
        <f>K46-P46</f>
        <v>#REF!</v>
      </c>
      <c r="S46" s="104"/>
      <c r="T46" s="99"/>
    </row>
    <row r="47" spans="1:20" x14ac:dyDescent="0.35">
      <c r="B47" s="26"/>
      <c r="C47" s="26"/>
      <c r="D47" s="26"/>
      <c r="E47" s="89"/>
      <c r="F47" s="89"/>
      <c r="G47" s="111"/>
      <c r="H47" s="106"/>
      <c r="I47" s="107"/>
      <c r="J47" s="5"/>
      <c r="K47" s="112"/>
      <c r="M47" s="34"/>
      <c r="N47" s="6"/>
      <c r="O47" s="5"/>
      <c r="P47" s="5"/>
      <c r="Q47" s="5"/>
      <c r="R47" s="5"/>
      <c r="S47" s="6"/>
      <c r="T47" s="6"/>
    </row>
    <row r="48" spans="1:20" x14ac:dyDescent="0.35">
      <c r="B48" s="26"/>
      <c r="C48" s="26"/>
      <c r="D48" s="26"/>
      <c r="E48" s="89"/>
      <c r="F48" s="89"/>
      <c r="G48" s="111"/>
      <c r="H48" s="106"/>
      <c r="I48" s="107"/>
      <c r="J48" s="5"/>
      <c r="K48" s="112"/>
      <c r="M48" s="34"/>
      <c r="N48" s="6"/>
      <c r="O48" s="5"/>
      <c r="P48" s="5"/>
      <c r="Q48" s="5"/>
      <c r="R48" s="5"/>
      <c r="S48" s="6"/>
      <c r="T48" s="6"/>
    </row>
    <row r="49" spans="1:20" s="51" customFormat="1" x14ac:dyDescent="0.35">
      <c r="A49" s="120" t="s">
        <v>84</v>
      </c>
      <c r="B49" s="26" t="s">
        <v>55</v>
      </c>
      <c r="C49" s="26"/>
      <c r="D49" s="26"/>
      <c r="E49" s="89"/>
      <c r="F49" s="89"/>
      <c r="G49" s="98" t="s">
        <v>18</v>
      </c>
      <c r="H49" s="27" t="s">
        <v>14</v>
      </c>
      <c r="I49" s="99">
        <v>1</v>
      </c>
      <c r="J49" s="4">
        <f>+K49</f>
        <v>95681.61</v>
      </c>
      <c r="K49" s="100">
        <v>95681.61</v>
      </c>
      <c r="L49"/>
      <c r="M49" s="101"/>
      <c r="N49" s="26" t="e">
        <f>SUM(#REF!)</f>
        <v>#REF!</v>
      </c>
      <c r="O49" s="29">
        <f>+IFERROR(P49/N49,0)</f>
        <v>0</v>
      </c>
      <c r="P49" s="29" t="e">
        <f>SUM(#REF!)</f>
        <v>#REF!</v>
      </c>
      <c r="Q49" s="103">
        <f>IFERROR(P49/K49,0)</f>
        <v>0</v>
      </c>
      <c r="R49" s="102" t="e">
        <f>K49-P49</f>
        <v>#REF!</v>
      </c>
      <c r="S49" s="104"/>
      <c r="T49" s="99"/>
    </row>
    <row r="50" spans="1:20" s="51" customFormat="1" x14ac:dyDescent="0.35">
      <c r="A50" s="122"/>
      <c r="B50" s="26"/>
      <c r="C50" s="26"/>
      <c r="D50" s="26"/>
      <c r="E50" s="89"/>
      <c r="F50" s="89"/>
      <c r="G50" s="98"/>
      <c r="H50" s="27"/>
      <c r="I50" s="99"/>
      <c r="J50" s="4"/>
      <c r="K50" s="100"/>
      <c r="L50"/>
      <c r="M50" s="28"/>
      <c r="N50" s="26"/>
      <c r="O50" s="102"/>
      <c r="P50" s="102"/>
      <c r="Q50" s="103"/>
      <c r="R50" s="102"/>
      <c r="S50" s="104"/>
      <c r="T50" s="99"/>
    </row>
    <row r="51" spans="1:20" s="50" customFormat="1" x14ac:dyDescent="0.35">
      <c r="A51" s="120"/>
      <c r="B51" s="20"/>
      <c r="C51" s="31"/>
      <c r="D51" s="31"/>
      <c r="E51" s="32"/>
      <c r="F51" s="32"/>
      <c r="G51" s="92"/>
      <c r="H51" s="20"/>
      <c r="I51" s="20"/>
      <c r="J51" s="21"/>
      <c r="K51" s="22"/>
      <c r="L51"/>
      <c r="M51" s="30"/>
      <c r="N51" s="20"/>
      <c r="O51" s="33"/>
      <c r="P51" s="33"/>
      <c r="Q51" s="33"/>
      <c r="R51" s="21"/>
      <c r="S51" s="20"/>
      <c r="T51" s="20"/>
    </row>
    <row r="52" spans="1:20" x14ac:dyDescent="0.35">
      <c r="A52" s="120" t="s">
        <v>84</v>
      </c>
      <c r="B52" s="26" t="s">
        <v>56</v>
      </c>
      <c r="C52" s="26"/>
      <c r="D52" s="26"/>
      <c r="E52" s="89"/>
      <c r="F52" s="89"/>
      <c r="G52" s="98" t="s">
        <v>19</v>
      </c>
      <c r="H52" s="27" t="s">
        <v>14</v>
      </c>
      <c r="I52" s="99">
        <v>1</v>
      </c>
      <c r="J52" s="4">
        <f>+K52</f>
        <v>400000</v>
      </c>
      <c r="K52" s="100">
        <v>400000</v>
      </c>
      <c r="M52" s="101"/>
      <c r="N52" s="26" t="e">
        <f>SUM(#REF!)</f>
        <v>#REF!</v>
      </c>
      <c r="O52" s="29">
        <f>+IFERROR(P52/N52,0)</f>
        <v>0</v>
      </c>
      <c r="P52" s="29" t="e">
        <f>SUM(#REF!)</f>
        <v>#REF!</v>
      </c>
      <c r="Q52" s="103">
        <f>IFERROR(P52/K52,0)</f>
        <v>0</v>
      </c>
      <c r="R52" s="102" t="e">
        <f>K52-P52</f>
        <v>#REF!</v>
      </c>
      <c r="S52" s="104"/>
      <c r="T52" s="99"/>
    </row>
    <row r="53" spans="1:20" x14ac:dyDescent="0.35">
      <c r="B53" s="26"/>
      <c r="C53" s="26"/>
      <c r="D53" s="26"/>
      <c r="E53" s="89"/>
      <c r="F53" s="89"/>
      <c r="G53" s="98"/>
      <c r="H53" s="27"/>
      <c r="I53" s="99"/>
      <c r="J53" s="4"/>
      <c r="K53" s="100"/>
      <c r="M53" s="101"/>
      <c r="N53" s="26"/>
      <c r="O53" s="29"/>
      <c r="P53" s="29"/>
      <c r="Q53" s="103"/>
      <c r="R53" s="102"/>
      <c r="S53" s="104"/>
      <c r="T53" s="99"/>
    </row>
    <row r="54" spans="1:20" x14ac:dyDescent="0.35">
      <c r="B54" s="26"/>
      <c r="C54" s="26"/>
      <c r="D54" s="26"/>
      <c r="E54" s="89"/>
      <c r="F54" s="89"/>
      <c r="G54" s="98"/>
      <c r="H54" s="27"/>
      <c r="I54" s="99"/>
      <c r="J54" s="4"/>
      <c r="K54" s="100"/>
      <c r="M54" s="101"/>
      <c r="N54" s="26"/>
      <c r="O54" s="29"/>
      <c r="P54" s="29"/>
      <c r="Q54" s="103"/>
      <c r="R54" s="102"/>
      <c r="S54" s="104"/>
      <c r="T54" s="99"/>
    </row>
    <row r="55" spans="1:20" x14ac:dyDescent="0.35">
      <c r="A55" s="120" t="s">
        <v>83</v>
      </c>
      <c r="B55" s="67" t="s">
        <v>57</v>
      </c>
      <c r="C55" s="67"/>
      <c r="D55" s="67"/>
      <c r="E55" s="68"/>
      <c r="F55" s="68"/>
      <c r="G55" s="91" t="s">
        <v>20</v>
      </c>
      <c r="H55" s="80"/>
      <c r="I55" s="76"/>
      <c r="J55" s="71"/>
      <c r="K55" s="72">
        <f>+SUM(K56,K59,K62,K65,K68)</f>
        <v>316000</v>
      </c>
      <c r="M55" s="79"/>
      <c r="N55" s="75"/>
      <c r="O55" s="72"/>
      <c r="P55" s="72" t="e">
        <f>+SUM(P56,P59,P62,P65,P68)</f>
        <v>#REF!</v>
      </c>
      <c r="Q55" s="73">
        <f>IFERROR(P55/K55,0)</f>
        <v>0</v>
      </c>
      <c r="R55" s="72" t="e">
        <f>K55-P55</f>
        <v>#REF!</v>
      </c>
      <c r="S55" s="74"/>
      <c r="T55" s="75"/>
    </row>
    <row r="56" spans="1:20" x14ac:dyDescent="0.35">
      <c r="A56" s="120" t="s">
        <v>84</v>
      </c>
      <c r="B56" s="26" t="s">
        <v>58</v>
      </c>
      <c r="C56" s="26"/>
      <c r="D56" s="26"/>
      <c r="E56" s="89"/>
      <c r="F56" s="89"/>
      <c r="G56" s="98" t="s">
        <v>96</v>
      </c>
      <c r="H56" s="27" t="s">
        <v>4</v>
      </c>
      <c r="I56" s="99">
        <v>36</v>
      </c>
      <c r="J56" s="4">
        <v>2000</v>
      </c>
      <c r="K56" s="100">
        <f>+J56*I56</f>
        <v>72000</v>
      </c>
      <c r="M56" s="28"/>
      <c r="N56" s="26" t="e">
        <f>SUM(#REF!)</f>
        <v>#REF!</v>
      </c>
      <c r="O56" s="102">
        <f>+IFERROR(P56/N56,0)</f>
        <v>0</v>
      </c>
      <c r="P56" s="102" t="e">
        <f>SUM(#REF!)</f>
        <v>#REF!</v>
      </c>
      <c r="Q56" s="103">
        <f>IFERROR(P56/K56,0)</f>
        <v>0</v>
      </c>
      <c r="R56" s="102" t="e">
        <f>K56-P56</f>
        <v>#REF!</v>
      </c>
      <c r="S56" s="104"/>
      <c r="T56" s="99"/>
    </row>
    <row r="57" spans="1:20" x14ac:dyDescent="0.35">
      <c r="B57" s="26"/>
      <c r="C57" s="26"/>
      <c r="D57" s="26"/>
      <c r="E57" s="89"/>
      <c r="F57" s="89"/>
      <c r="G57" s="98"/>
      <c r="H57" s="27"/>
      <c r="I57" s="99"/>
      <c r="J57" s="4"/>
      <c r="K57" s="100"/>
      <c r="M57" s="28"/>
      <c r="N57" s="26"/>
      <c r="O57" s="102"/>
      <c r="P57" s="102"/>
      <c r="Q57" s="103"/>
      <c r="R57" s="102"/>
      <c r="S57" s="104"/>
      <c r="T57" s="99"/>
    </row>
    <row r="58" spans="1:20" x14ac:dyDescent="0.35">
      <c r="B58" s="20"/>
      <c r="C58" s="31"/>
      <c r="D58" s="31"/>
      <c r="E58" s="45"/>
      <c r="F58" s="45"/>
      <c r="G58" s="92"/>
      <c r="H58" s="20"/>
      <c r="I58" s="20"/>
      <c r="J58" s="21"/>
      <c r="K58" s="22"/>
      <c r="M58" s="30"/>
      <c r="N58" s="20"/>
      <c r="O58" s="33"/>
      <c r="P58" s="33"/>
      <c r="Q58" s="33"/>
      <c r="R58" s="21"/>
      <c r="S58" s="20"/>
      <c r="T58" s="20"/>
    </row>
    <row r="59" spans="1:20" s="51" customFormat="1" x14ac:dyDescent="0.35">
      <c r="A59" s="120" t="s">
        <v>84</v>
      </c>
      <c r="B59" s="26" t="s">
        <v>59</v>
      </c>
      <c r="C59" s="26"/>
      <c r="D59" s="26"/>
      <c r="E59" s="89"/>
      <c r="F59" s="89"/>
      <c r="G59" s="98" t="s">
        <v>101</v>
      </c>
      <c r="H59" s="27" t="s">
        <v>21</v>
      </c>
      <c r="I59" s="99">
        <v>3</v>
      </c>
      <c r="J59" s="4">
        <f>K59/I59</f>
        <v>48000</v>
      </c>
      <c r="K59" s="100">
        <v>144000</v>
      </c>
      <c r="L59"/>
      <c r="M59" s="101"/>
      <c r="N59" s="26">
        <f>SUM(N60:N61)</f>
        <v>0</v>
      </c>
      <c r="O59" s="29">
        <f>+IFERROR(P59/N59,0)</f>
        <v>0</v>
      </c>
      <c r="P59" s="29">
        <f>SUM(P60:P61)</f>
        <v>0</v>
      </c>
      <c r="Q59" s="103">
        <f>IFERROR(P59/K59,0)</f>
        <v>0</v>
      </c>
      <c r="R59" s="102">
        <f>K59-P59</f>
        <v>144000</v>
      </c>
      <c r="S59" s="104"/>
      <c r="T59" s="99"/>
    </row>
    <row r="60" spans="1:20" s="51" customFormat="1" x14ac:dyDescent="0.35">
      <c r="A60" s="120"/>
      <c r="B60" s="26"/>
      <c r="C60" s="26"/>
      <c r="D60" s="26"/>
      <c r="E60" s="89"/>
      <c r="F60" s="89"/>
      <c r="G60" s="98"/>
      <c r="H60" s="27"/>
      <c r="I60" s="99"/>
      <c r="J60" s="4"/>
      <c r="K60" s="100"/>
      <c r="L60"/>
      <c r="M60" s="28"/>
      <c r="N60" s="26"/>
      <c r="O60" s="102"/>
      <c r="P60" s="102"/>
      <c r="Q60" s="103"/>
      <c r="R60" s="102"/>
      <c r="S60" s="104"/>
      <c r="T60" s="99"/>
    </row>
    <row r="61" spans="1:20" s="113" customFormat="1" x14ac:dyDescent="0.35">
      <c r="A61" s="120"/>
      <c r="B61" s="20"/>
      <c r="C61" s="31"/>
      <c r="D61" s="31"/>
      <c r="E61" s="45"/>
      <c r="F61" s="46"/>
      <c r="G61" s="92"/>
      <c r="H61" s="20"/>
      <c r="I61" s="20"/>
      <c r="J61" s="21"/>
      <c r="K61" s="22"/>
      <c r="L61"/>
      <c r="M61" s="30"/>
      <c r="N61" s="20"/>
      <c r="O61" s="33"/>
      <c r="P61" s="33"/>
      <c r="Q61" s="33"/>
      <c r="R61" s="21"/>
      <c r="S61" s="20"/>
      <c r="T61" s="20"/>
    </row>
    <row r="62" spans="1:20" x14ac:dyDescent="0.35">
      <c r="A62" s="120" t="s">
        <v>84</v>
      </c>
      <c r="B62" s="26" t="s">
        <v>60</v>
      </c>
      <c r="C62" s="26"/>
      <c r="D62" s="26"/>
      <c r="E62" s="89"/>
      <c r="F62" s="89"/>
      <c r="G62" s="98" t="s">
        <v>102</v>
      </c>
      <c r="H62" s="27" t="s">
        <v>21</v>
      </c>
      <c r="I62" s="99">
        <v>3</v>
      </c>
      <c r="J62" s="4">
        <v>30000</v>
      </c>
      <c r="K62" s="100">
        <v>30000</v>
      </c>
      <c r="M62" s="101"/>
      <c r="N62" s="26">
        <f>SUM(N63:N64)</f>
        <v>0</v>
      </c>
      <c r="O62" s="29">
        <f>+IFERROR(P62/N62,0)</f>
        <v>0</v>
      </c>
      <c r="P62" s="29">
        <f>SUM(P63:P64)</f>
        <v>0</v>
      </c>
      <c r="Q62" s="103">
        <f>IFERROR(P62/K62,0)</f>
        <v>0</v>
      </c>
      <c r="R62" s="102">
        <f>K62-P62</f>
        <v>30000</v>
      </c>
      <c r="S62" s="104"/>
      <c r="T62" s="99"/>
    </row>
    <row r="63" spans="1:20" x14ac:dyDescent="0.35">
      <c r="B63" s="26"/>
      <c r="C63" s="26"/>
      <c r="D63" s="26"/>
      <c r="E63" s="89"/>
      <c r="F63" s="89"/>
      <c r="G63" s="98"/>
      <c r="H63" s="27"/>
      <c r="I63" s="99"/>
      <c r="J63" s="4"/>
      <c r="K63" s="100"/>
      <c r="M63" s="28"/>
      <c r="N63" s="26"/>
      <c r="O63" s="102"/>
      <c r="P63" s="102"/>
      <c r="Q63" s="103"/>
      <c r="R63" s="102"/>
      <c r="S63" s="104"/>
      <c r="T63" s="99"/>
    </row>
    <row r="64" spans="1:20" x14ac:dyDescent="0.35">
      <c r="B64" s="20"/>
      <c r="C64" s="31"/>
      <c r="D64" s="31"/>
      <c r="E64" s="45"/>
      <c r="F64" s="45"/>
      <c r="G64" s="92"/>
      <c r="H64" s="20"/>
      <c r="I64" s="20"/>
      <c r="J64" s="21"/>
      <c r="K64" s="22"/>
      <c r="M64" s="30"/>
      <c r="N64" s="20"/>
      <c r="O64" s="33"/>
      <c r="P64" s="33"/>
      <c r="Q64" s="33"/>
      <c r="R64" s="21"/>
      <c r="S64" s="20"/>
      <c r="T64" s="20"/>
    </row>
    <row r="65" spans="1:20" x14ac:dyDescent="0.35">
      <c r="A65" s="120" t="s">
        <v>84</v>
      </c>
      <c r="B65" s="26" t="s">
        <v>61</v>
      </c>
      <c r="C65" s="26"/>
      <c r="D65" s="26"/>
      <c r="E65" s="89"/>
      <c r="F65" s="89"/>
      <c r="G65" s="98" t="s">
        <v>103</v>
      </c>
      <c r="H65" s="27" t="s">
        <v>21</v>
      </c>
      <c r="I65" s="99">
        <v>3</v>
      </c>
      <c r="J65" s="4">
        <v>15000</v>
      </c>
      <c r="K65" s="100">
        <v>45000</v>
      </c>
      <c r="M65" s="101"/>
      <c r="N65" s="26" t="e">
        <f>SUM(#REF!)</f>
        <v>#REF!</v>
      </c>
      <c r="O65" s="29">
        <f>+IFERROR(P65/N65,0)</f>
        <v>0</v>
      </c>
      <c r="P65" s="29" t="e">
        <f>SUM(#REF!)</f>
        <v>#REF!</v>
      </c>
      <c r="Q65" s="103">
        <f>IFERROR(P65/K65,0)</f>
        <v>0</v>
      </c>
      <c r="R65" s="102" t="e">
        <f>K65-P65</f>
        <v>#REF!</v>
      </c>
      <c r="S65" s="104"/>
      <c r="T65" s="99"/>
    </row>
    <row r="66" spans="1:20" x14ac:dyDescent="0.35">
      <c r="B66" s="26"/>
      <c r="C66" s="26"/>
      <c r="D66" s="26"/>
      <c r="E66" s="89"/>
      <c r="F66" s="89"/>
      <c r="G66" s="98"/>
      <c r="H66" s="27"/>
      <c r="I66" s="99"/>
      <c r="J66" s="4"/>
      <c r="K66" s="100"/>
      <c r="M66" s="28"/>
      <c r="N66" s="26"/>
      <c r="O66" s="102"/>
      <c r="P66" s="102"/>
      <c r="Q66" s="103"/>
      <c r="R66" s="102"/>
      <c r="S66" s="104"/>
      <c r="T66" s="99"/>
    </row>
    <row r="67" spans="1:20" x14ac:dyDescent="0.35">
      <c r="B67" s="20"/>
      <c r="C67" s="31"/>
      <c r="D67" s="31"/>
      <c r="E67" s="45"/>
      <c r="F67" s="45"/>
      <c r="G67" s="92"/>
      <c r="H67" s="20"/>
      <c r="I67" s="20"/>
      <c r="J67" s="21"/>
      <c r="K67" s="22"/>
      <c r="M67" s="30"/>
      <c r="N67" s="20"/>
      <c r="O67" s="33"/>
      <c r="P67" s="33"/>
      <c r="Q67" s="33"/>
      <c r="R67" s="21"/>
      <c r="S67" s="20"/>
      <c r="T67" s="20"/>
    </row>
    <row r="68" spans="1:20" x14ac:dyDescent="0.35">
      <c r="A68" s="120" t="s">
        <v>84</v>
      </c>
      <c r="B68" s="26" t="s">
        <v>62</v>
      </c>
      <c r="C68" s="26"/>
      <c r="D68" s="26"/>
      <c r="E68" s="89"/>
      <c r="F68" s="89"/>
      <c r="G68" s="98" t="s">
        <v>104</v>
      </c>
      <c r="H68" s="27" t="s">
        <v>22</v>
      </c>
      <c r="I68" s="99">
        <v>1</v>
      </c>
      <c r="J68" s="4">
        <f>+K68</f>
        <v>25000</v>
      </c>
      <c r="K68" s="100">
        <v>25000</v>
      </c>
      <c r="M68" s="101"/>
      <c r="N68" s="26" t="e">
        <f>SUM(#REF!)</f>
        <v>#REF!</v>
      </c>
      <c r="O68" s="29">
        <f>+IFERROR(P68/N68,0)</f>
        <v>0</v>
      </c>
      <c r="P68" s="29" t="e">
        <f>SUM(#REF!)</f>
        <v>#REF!</v>
      </c>
      <c r="Q68" s="103">
        <f>IFERROR(P68/K68,0)</f>
        <v>0</v>
      </c>
      <c r="R68" s="102" t="e">
        <f>K68-P68</f>
        <v>#REF!</v>
      </c>
      <c r="S68" s="104"/>
      <c r="T68" s="99"/>
    </row>
    <row r="69" spans="1:20" x14ac:dyDescent="0.35">
      <c r="B69" s="26"/>
      <c r="C69" s="26"/>
      <c r="D69" s="26"/>
      <c r="E69" s="89"/>
      <c r="F69" s="89"/>
      <c r="G69" s="98"/>
      <c r="H69" s="27"/>
      <c r="I69" s="99"/>
      <c r="J69" s="4"/>
      <c r="K69" s="100"/>
      <c r="M69" s="28"/>
      <c r="N69" s="26"/>
      <c r="O69" s="102"/>
      <c r="P69" s="102"/>
      <c r="Q69" s="103"/>
      <c r="R69" s="102"/>
      <c r="S69" s="104"/>
      <c r="T69" s="99"/>
    </row>
    <row r="70" spans="1:20" x14ac:dyDescent="0.35">
      <c r="B70" s="20"/>
      <c r="C70" s="31"/>
      <c r="D70" s="31"/>
      <c r="E70" s="45"/>
      <c r="F70" s="45"/>
      <c r="G70" s="92"/>
      <c r="H70" s="20"/>
      <c r="I70" s="20"/>
      <c r="J70" s="21"/>
      <c r="K70" s="22"/>
      <c r="M70" s="30"/>
      <c r="N70" s="20"/>
      <c r="O70" s="33"/>
      <c r="P70" s="33"/>
      <c r="Q70" s="33"/>
      <c r="R70" s="21"/>
      <c r="S70" s="20"/>
      <c r="T70" s="20"/>
    </row>
    <row r="71" spans="1:20" x14ac:dyDescent="0.35">
      <c r="B71" s="35" t="s">
        <v>45</v>
      </c>
      <c r="C71" s="35"/>
      <c r="D71" s="35"/>
      <c r="E71" s="36"/>
      <c r="F71" s="36"/>
      <c r="G71" s="93" t="s">
        <v>23</v>
      </c>
      <c r="H71" s="9"/>
      <c r="I71" s="9"/>
      <c r="J71" s="9"/>
      <c r="K71" s="9">
        <f>+K24+K55</f>
        <v>2400700</v>
      </c>
      <c r="M71" s="9"/>
      <c r="N71" s="47"/>
      <c r="O71" s="41"/>
      <c r="P71" s="41" t="e">
        <f>+SUM(P55,P24)</f>
        <v>#REF!</v>
      </c>
      <c r="Q71" s="42">
        <f>IFERROR(P71/K71,0)</f>
        <v>0</v>
      </c>
      <c r="R71" s="41" t="e">
        <f>K71-P71</f>
        <v>#REF!</v>
      </c>
      <c r="S71" s="48"/>
      <c r="T71" s="48"/>
    </row>
    <row r="72" spans="1:20" x14ac:dyDescent="0.35">
      <c r="A72" s="120" t="s">
        <v>82</v>
      </c>
      <c r="B72" s="53">
        <v>3</v>
      </c>
      <c r="C72" s="53"/>
      <c r="D72" s="53"/>
      <c r="E72" s="54"/>
      <c r="F72" s="54"/>
      <c r="G72" s="90" t="s">
        <v>24</v>
      </c>
      <c r="H72" s="63"/>
      <c r="I72" s="64"/>
      <c r="J72" s="63"/>
      <c r="K72" s="61"/>
      <c r="M72" s="62"/>
      <c r="N72" s="60"/>
      <c r="O72" s="57"/>
      <c r="P72" s="57"/>
      <c r="Q72" s="57"/>
      <c r="R72" s="57"/>
      <c r="S72" s="60"/>
      <c r="T72" s="60"/>
    </row>
    <row r="73" spans="1:20" x14ac:dyDescent="0.35">
      <c r="A73" s="120" t="s">
        <v>83</v>
      </c>
      <c r="B73" s="67" t="s">
        <v>63</v>
      </c>
      <c r="C73" s="67"/>
      <c r="D73" s="67"/>
      <c r="E73" s="68"/>
      <c r="F73" s="68"/>
      <c r="G73" s="91" t="s">
        <v>97</v>
      </c>
      <c r="H73" s="81"/>
      <c r="I73" s="82"/>
      <c r="J73" s="81"/>
      <c r="K73" s="72">
        <f>K74</f>
        <v>144000</v>
      </c>
      <c r="M73" s="79"/>
      <c r="N73" s="75"/>
      <c r="O73" s="72"/>
      <c r="P73" s="72" t="e">
        <f>+SUM(P74)</f>
        <v>#REF!</v>
      </c>
      <c r="Q73" s="73">
        <f>IFERROR(P73/K73,0)</f>
        <v>0</v>
      </c>
      <c r="R73" s="72" t="e">
        <f>K73-P73</f>
        <v>#REF!</v>
      </c>
      <c r="S73" s="74"/>
      <c r="T73" s="75"/>
    </row>
    <row r="74" spans="1:20" x14ac:dyDescent="0.35">
      <c r="A74" s="120" t="s">
        <v>84</v>
      </c>
      <c r="B74" s="26" t="s">
        <v>64</v>
      </c>
      <c r="C74" s="26"/>
      <c r="D74" s="26"/>
      <c r="E74" s="89"/>
      <c r="F74" s="89"/>
      <c r="G74" s="98" t="s">
        <v>98</v>
      </c>
      <c r="H74" s="27" t="s">
        <v>4</v>
      </c>
      <c r="I74" s="99">
        <v>36</v>
      </c>
      <c r="J74" s="4">
        <v>4000</v>
      </c>
      <c r="K74" s="100">
        <f>J74*I74</f>
        <v>144000</v>
      </c>
      <c r="M74" s="28"/>
      <c r="N74" s="26" t="e">
        <f>SUM(#REF!)</f>
        <v>#REF!</v>
      </c>
      <c r="O74" s="102">
        <f>+IFERROR(P74/N74,0)</f>
        <v>0</v>
      </c>
      <c r="P74" s="102" t="e">
        <f>SUM(#REF!)</f>
        <v>#REF!</v>
      </c>
      <c r="Q74" s="103">
        <f>IFERROR(P74/K74,0)</f>
        <v>0</v>
      </c>
      <c r="R74" s="102" t="e">
        <f>K74-P74</f>
        <v>#REF!</v>
      </c>
      <c r="S74" s="104"/>
      <c r="T74" s="99"/>
    </row>
    <row r="75" spans="1:20" x14ac:dyDescent="0.35">
      <c r="B75" s="26"/>
      <c r="C75" s="26"/>
      <c r="D75" s="26"/>
      <c r="E75" s="89"/>
      <c r="F75" s="89"/>
      <c r="G75" s="98"/>
      <c r="H75" s="27"/>
      <c r="I75" s="99"/>
      <c r="J75" s="4"/>
      <c r="K75" s="100"/>
      <c r="M75" s="28"/>
      <c r="N75" s="26"/>
      <c r="O75" s="102"/>
      <c r="P75" s="102"/>
      <c r="Q75" s="103"/>
      <c r="R75" s="102"/>
      <c r="S75" s="104"/>
      <c r="T75" s="99"/>
    </row>
    <row r="76" spans="1:20" x14ac:dyDescent="0.35">
      <c r="B76" s="20"/>
      <c r="C76" s="31"/>
      <c r="D76" s="31"/>
      <c r="E76" s="45"/>
      <c r="F76" s="45"/>
      <c r="G76" s="92"/>
      <c r="H76" s="20"/>
      <c r="I76" s="20"/>
      <c r="J76" s="21"/>
      <c r="K76" s="22"/>
      <c r="M76" s="30"/>
      <c r="N76" s="20"/>
      <c r="O76" s="33"/>
      <c r="P76" s="33"/>
      <c r="Q76" s="33"/>
      <c r="R76" s="21"/>
      <c r="S76" s="20"/>
      <c r="T76" s="20"/>
    </row>
    <row r="77" spans="1:20" x14ac:dyDescent="0.35">
      <c r="A77" s="120" t="s">
        <v>83</v>
      </c>
      <c r="B77" s="67" t="s">
        <v>65</v>
      </c>
      <c r="C77" s="67"/>
      <c r="D77" s="67"/>
      <c r="E77" s="67"/>
      <c r="F77" s="67"/>
      <c r="G77" s="91" t="s">
        <v>25</v>
      </c>
      <c r="H77" s="75"/>
      <c r="I77" s="76"/>
      <c r="J77" s="81"/>
      <c r="K77" s="83">
        <f>+SUM(K78,K81)</f>
        <v>17900</v>
      </c>
      <c r="M77" s="84"/>
      <c r="N77" s="67"/>
      <c r="O77" s="83"/>
      <c r="P77" s="83">
        <f>+SUM(P78,P81)</f>
        <v>0</v>
      </c>
      <c r="Q77" s="73">
        <f>IFERROR(P77/K77,0)</f>
        <v>0</v>
      </c>
      <c r="R77" s="72">
        <f>K77-P77</f>
        <v>17900</v>
      </c>
      <c r="S77" s="74"/>
      <c r="T77" s="67"/>
    </row>
    <row r="78" spans="1:20" x14ac:dyDescent="0.35">
      <c r="A78" s="120" t="s">
        <v>84</v>
      </c>
      <c r="B78" s="26" t="s">
        <v>67</v>
      </c>
      <c r="C78" s="26"/>
      <c r="D78" s="26"/>
      <c r="E78" s="89"/>
      <c r="F78" s="89"/>
      <c r="G78" s="98" t="s">
        <v>26</v>
      </c>
      <c r="H78" s="27" t="s">
        <v>4</v>
      </c>
      <c r="I78" s="99">
        <v>36</v>
      </c>
      <c r="J78" s="4">
        <v>100</v>
      </c>
      <c r="K78" s="100">
        <v>3600</v>
      </c>
      <c r="M78" s="28"/>
      <c r="N78" s="26">
        <f>SUM(N79:N80)</f>
        <v>0</v>
      </c>
      <c r="O78" s="102">
        <f>+IFERROR(P78/N78,0)</f>
        <v>0</v>
      </c>
      <c r="P78" s="102">
        <f>SUM(P79:P80)</f>
        <v>0</v>
      </c>
      <c r="Q78" s="103">
        <f>IFERROR(P78/K78,0)</f>
        <v>0</v>
      </c>
      <c r="R78" s="102">
        <f>K78-P78</f>
        <v>3600</v>
      </c>
      <c r="S78" s="104"/>
      <c r="T78" s="99"/>
    </row>
    <row r="79" spans="1:20" x14ac:dyDescent="0.35">
      <c r="B79" s="26"/>
      <c r="C79" s="26"/>
      <c r="D79" s="26"/>
      <c r="E79" s="89"/>
      <c r="F79" s="89"/>
      <c r="G79" s="98"/>
      <c r="H79" s="27"/>
      <c r="I79" s="99"/>
      <c r="J79" s="4"/>
      <c r="K79" s="100"/>
      <c r="M79" s="28"/>
      <c r="N79" s="26"/>
      <c r="O79" s="102"/>
      <c r="P79" s="102"/>
      <c r="Q79" s="103"/>
      <c r="R79" s="102"/>
      <c r="S79" s="104"/>
      <c r="T79" s="99"/>
    </row>
    <row r="80" spans="1:20" x14ac:dyDescent="0.35">
      <c r="B80" s="20"/>
      <c r="C80" s="31"/>
      <c r="D80" s="31"/>
      <c r="E80" s="45"/>
      <c r="F80" s="45"/>
      <c r="G80" s="92"/>
      <c r="H80" s="6"/>
      <c r="I80" s="107"/>
      <c r="J80" s="5"/>
      <c r="K80" s="112"/>
      <c r="M80" s="49"/>
      <c r="N80" s="20"/>
      <c r="O80" s="33"/>
      <c r="P80" s="33"/>
      <c r="Q80" s="33"/>
      <c r="R80" s="21"/>
      <c r="S80" s="20"/>
      <c r="T80" s="20"/>
    </row>
    <row r="81" spans="1:20" x14ac:dyDescent="0.35">
      <c r="A81" s="120" t="s">
        <v>84</v>
      </c>
      <c r="B81" s="26" t="s">
        <v>66</v>
      </c>
      <c r="C81" s="26"/>
      <c r="D81" s="26"/>
      <c r="E81" s="89"/>
      <c r="F81" s="89"/>
      <c r="G81" s="98" t="s">
        <v>74</v>
      </c>
      <c r="H81" s="27" t="s">
        <v>4</v>
      </c>
      <c r="I81" s="99">
        <v>36</v>
      </c>
      <c r="J81" s="4">
        <v>397.22222222222223</v>
      </c>
      <c r="K81" s="100">
        <v>14300</v>
      </c>
      <c r="M81" s="28"/>
      <c r="N81" s="26">
        <f>SUM(N82:N83)</f>
        <v>0</v>
      </c>
      <c r="O81" s="102">
        <f>+IFERROR(P81/N81,0)</f>
        <v>0</v>
      </c>
      <c r="P81" s="102">
        <f>SUM(P82:P83)</f>
        <v>0</v>
      </c>
      <c r="Q81" s="103">
        <f>IFERROR(P81/K81,0)</f>
        <v>0</v>
      </c>
      <c r="R81" s="102">
        <f>K81-P81</f>
        <v>14300</v>
      </c>
      <c r="S81" s="104"/>
      <c r="T81" s="99"/>
    </row>
    <row r="82" spans="1:20" x14ac:dyDescent="0.35">
      <c r="B82" s="20"/>
      <c r="C82" s="31"/>
      <c r="D82" s="31"/>
      <c r="E82" s="45"/>
      <c r="F82" s="45"/>
      <c r="G82" s="92"/>
      <c r="H82" s="6"/>
      <c r="I82" s="107"/>
      <c r="J82" s="5"/>
      <c r="K82" s="112"/>
      <c r="M82" s="49"/>
      <c r="N82" s="20"/>
      <c r="O82" s="33"/>
      <c r="P82" s="33"/>
      <c r="Q82" s="33"/>
      <c r="R82" s="21"/>
      <c r="S82" s="20"/>
      <c r="T82" s="20"/>
    </row>
    <row r="83" spans="1:20" x14ac:dyDescent="0.35">
      <c r="B83" s="20"/>
      <c r="C83" s="31"/>
      <c r="D83" s="31"/>
      <c r="E83" s="45"/>
      <c r="F83" s="45"/>
      <c r="G83" s="92"/>
      <c r="H83" s="6"/>
      <c r="I83" s="107"/>
      <c r="J83" s="5"/>
      <c r="K83" s="112"/>
      <c r="M83" s="49"/>
      <c r="N83" s="20"/>
      <c r="O83" s="33"/>
      <c r="P83" s="33"/>
      <c r="Q83" s="33"/>
      <c r="R83" s="21"/>
      <c r="S83" s="20"/>
      <c r="T83" s="20"/>
    </row>
    <row r="84" spans="1:20" x14ac:dyDescent="0.35">
      <c r="A84" s="120" t="s">
        <v>83</v>
      </c>
      <c r="B84" s="67" t="s">
        <v>68</v>
      </c>
      <c r="C84" s="67"/>
      <c r="D84" s="67"/>
      <c r="E84" s="67"/>
      <c r="F84" s="67"/>
      <c r="G84" s="91" t="s">
        <v>27</v>
      </c>
      <c r="H84" s="75"/>
      <c r="I84" s="76"/>
      <c r="J84" s="81"/>
      <c r="K84" s="83">
        <f>+K85</f>
        <v>22800</v>
      </c>
      <c r="M84" s="79"/>
      <c r="N84" s="75"/>
      <c r="O84" s="83"/>
      <c r="P84" s="83" t="e">
        <f>+P85</f>
        <v>#REF!</v>
      </c>
      <c r="Q84" s="73">
        <f>IFERROR(P84/K84,0)</f>
        <v>0</v>
      </c>
      <c r="R84" s="72" t="e">
        <f>K84-P84</f>
        <v>#REF!</v>
      </c>
      <c r="S84" s="74"/>
      <c r="T84" s="71"/>
    </row>
    <row r="85" spans="1:20" x14ac:dyDescent="0.35">
      <c r="A85" s="120" t="s">
        <v>84</v>
      </c>
      <c r="B85" s="26" t="s">
        <v>69</v>
      </c>
      <c r="C85" s="26"/>
      <c r="D85" s="26"/>
      <c r="E85" s="89"/>
      <c r="F85" s="89"/>
      <c r="G85" s="98" t="s">
        <v>28</v>
      </c>
      <c r="H85" s="27" t="s">
        <v>14</v>
      </c>
      <c r="I85" s="99">
        <v>1</v>
      </c>
      <c r="J85" s="4">
        <f>+K85</f>
        <v>22800</v>
      </c>
      <c r="K85" s="100">
        <v>22800</v>
      </c>
      <c r="M85" s="101"/>
      <c r="N85" s="26" t="e">
        <f>SUM(#REF!)</f>
        <v>#REF!</v>
      </c>
      <c r="O85" s="29">
        <f>+IFERROR(P85/N85,0)</f>
        <v>0</v>
      </c>
      <c r="P85" s="29" t="e">
        <f>SUM(#REF!)</f>
        <v>#REF!</v>
      </c>
      <c r="Q85" s="103">
        <f>IFERROR(P85/K85,0)</f>
        <v>0</v>
      </c>
      <c r="R85" s="102" t="e">
        <f>K85-P85</f>
        <v>#REF!</v>
      </c>
      <c r="S85" s="104"/>
      <c r="T85" s="99"/>
    </row>
    <row r="86" spans="1:20" x14ac:dyDescent="0.35">
      <c r="B86" s="20"/>
      <c r="C86" s="31"/>
      <c r="D86" s="31"/>
      <c r="E86" s="44"/>
      <c r="F86" s="46"/>
      <c r="G86" s="92"/>
      <c r="H86" s="20"/>
      <c r="I86" s="20"/>
      <c r="J86" s="21"/>
      <c r="K86" s="22"/>
      <c r="M86" s="30"/>
      <c r="N86" s="20"/>
      <c r="O86" s="33"/>
      <c r="P86" s="33"/>
      <c r="Q86" s="33"/>
      <c r="R86" s="21"/>
      <c r="S86" s="20"/>
      <c r="T86" s="20"/>
    </row>
    <row r="87" spans="1:20" s="114" customFormat="1" x14ac:dyDescent="0.35">
      <c r="A87" s="120"/>
      <c r="B87" s="20"/>
      <c r="C87" s="31"/>
      <c r="D87" s="31"/>
      <c r="E87" s="31"/>
      <c r="F87" s="31"/>
      <c r="G87" s="92"/>
      <c r="H87" s="20"/>
      <c r="I87" s="20"/>
      <c r="J87" s="21"/>
      <c r="K87" s="22"/>
      <c r="L87"/>
      <c r="M87" s="30"/>
      <c r="N87" s="20"/>
      <c r="O87" s="33"/>
      <c r="P87" s="33"/>
      <c r="Q87" s="33"/>
      <c r="R87" s="21"/>
      <c r="S87" s="20"/>
      <c r="T87" s="20"/>
    </row>
    <row r="88" spans="1:20" x14ac:dyDescent="0.35">
      <c r="B88" s="35" t="s">
        <v>45</v>
      </c>
      <c r="C88" s="35"/>
      <c r="D88" s="35"/>
      <c r="E88" s="35"/>
      <c r="F88" s="35"/>
      <c r="G88" s="93" t="s">
        <v>29</v>
      </c>
      <c r="H88" s="9"/>
      <c r="I88" s="9"/>
      <c r="J88" s="9"/>
      <c r="K88" s="9">
        <f>+SUM(K73,K77,K84)</f>
        <v>184700</v>
      </c>
      <c r="M88" s="9"/>
      <c r="N88" s="47"/>
      <c r="O88" s="9"/>
      <c r="P88" s="9" t="e">
        <f>+SUM(P73,P77,P84)</f>
        <v>#REF!</v>
      </c>
      <c r="Q88" s="42">
        <f>IFERROR(P88/K88,0)</f>
        <v>0</v>
      </c>
      <c r="R88" s="41" t="e">
        <f>K88-P88</f>
        <v>#REF!</v>
      </c>
      <c r="S88" s="48"/>
      <c r="T88" s="48"/>
    </row>
    <row r="89" spans="1:20" x14ac:dyDescent="0.35">
      <c r="A89" s="120" t="s">
        <v>82</v>
      </c>
      <c r="B89" s="53">
        <v>4</v>
      </c>
      <c r="C89" s="53"/>
      <c r="D89" s="53"/>
      <c r="E89" s="53"/>
      <c r="F89" s="53"/>
      <c r="G89" s="90" t="s">
        <v>30</v>
      </c>
      <c r="H89" s="63"/>
      <c r="I89" s="64"/>
      <c r="J89" s="63"/>
      <c r="K89" s="61"/>
      <c r="M89" s="62"/>
      <c r="N89" s="60"/>
      <c r="O89" s="57"/>
      <c r="P89" s="57"/>
      <c r="Q89" s="57"/>
      <c r="R89" s="57"/>
      <c r="S89" s="60"/>
      <c r="T89" s="60"/>
    </row>
    <row r="90" spans="1:20" x14ac:dyDescent="0.35">
      <c r="A90" s="120" t="s">
        <v>83</v>
      </c>
      <c r="B90" s="67" t="s">
        <v>70</v>
      </c>
      <c r="C90" s="67"/>
      <c r="D90" s="67"/>
      <c r="E90" s="67"/>
      <c r="F90" s="67"/>
      <c r="G90" s="91" t="s">
        <v>99</v>
      </c>
      <c r="H90" s="85" t="s">
        <v>14</v>
      </c>
      <c r="I90" s="86">
        <v>1</v>
      </c>
      <c r="J90" s="85">
        <v>28800</v>
      </c>
      <c r="K90" s="83">
        <v>28800</v>
      </c>
      <c r="M90" s="68"/>
      <c r="N90" s="67">
        <f>+SUM(N91:N92)</f>
        <v>0</v>
      </c>
      <c r="O90" s="72">
        <f>+IFERROR(P90/N90,0)</f>
        <v>0</v>
      </c>
      <c r="P90" s="72">
        <f>+SUM(P91:P92)</f>
        <v>0</v>
      </c>
      <c r="Q90" s="73">
        <f>IFERROR(P90/K90,0)</f>
        <v>0</v>
      </c>
      <c r="R90" s="72">
        <f>K90-P90</f>
        <v>28800</v>
      </c>
      <c r="S90" s="74"/>
      <c r="T90" s="67"/>
    </row>
    <row r="91" spans="1:20" x14ac:dyDescent="0.35">
      <c r="B91" s="26"/>
      <c r="C91" s="26"/>
      <c r="D91" s="26"/>
      <c r="E91" s="26"/>
      <c r="F91" s="26"/>
      <c r="G91" s="111"/>
      <c r="H91" s="6"/>
      <c r="I91" s="107"/>
      <c r="J91" s="5"/>
      <c r="K91" s="112"/>
      <c r="M91" s="49"/>
      <c r="N91" s="6"/>
      <c r="O91" s="5"/>
      <c r="P91" s="5"/>
      <c r="Q91" s="5"/>
      <c r="R91" s="5"/>
      <c r="S91" s="6"/>
      <c r="T91" s="6"/>
    </row>
    <row r="92" spans="1:20" x14ac:dyDescent="0.35">
      <c r="B92" s="26"/>
      <c r="C92" s="26"/>
      <c r="D92" s="26"/>
      <c r="E92" s="26"/>
      <c r="F92" s="26"/>
      <c r="G92" s="111"/>
      <c r="H92" s="6"/>
      <c r="I92" s="107"/>
      <c r="J92" s="5"/>
      <c r="K92" s="112"/>
      <c r="M92" s="49"/>
      <c r="N92" s="6"/>
      <c r="O92" s="5"/>
      <c r="P92" s="5"/>
      <c r="Q92" s="5"/>
      <c r="R92" s="5"/>
      <c r="S92" s="6"/>
      <c r="T92" s="6"/>
    </row>
    <row r="93" spans="1:20" x14ac:dyDescent="0.35">
      <c r="A93" s="120" t="s">
        <v>83</v>
      </c>
      <c r="B93" s="67" t="s">
        <v>71</v>
      </c>
      <c r="C93" s="67"/>
      <c r="D93" s="67"/>
      <c r="E93" s="67"/>
      <c r="F93" s="67"/>
      <c r="G93" s="91" t="s">
        <v>31</v>
      </c>
      <c r="H93" s="85" t="s">
        <v>14</v>
      </c>
      <c r="I93" s="86">
        <v>1</v>
      </c>
      <c r="J93" s="85">
        <f>38940</f>
        <v>38940</v>
      </c>
      <c r="K93" s="83">
        <v>38940</v>
      </c>
      <c r="M93" s="68"/>
      <c r="N93" s="67">
        <f>+SUM(N94:N95)</f>
        <v>0</v>
      </c>
      <c r="O93" s="72">
        <f>+IFERROR(P93/N93,0)</f>
        <v>0</v>
      </c>
      <c r="P93" s="72">
        <f>+SUM(P94:P95)</f>
        <v>0</v>
      </c>
      <c r="Q93" s="73">
        <f>IFERROR(P93/K93,0)</f>
        <v>0</v>
      </c>
      <c r="R93" s="72">
        <f>K93-P93</f>
        <v>38940</v>
      </c>
      <c r="S93" s="74"/>
      <c r="T93" s="67"/>
    </row>
    <row r="94" spans="1:20" x14ac:dyDescent="0.35">
      <c r="B94" s="26"/>
      <c r="C94" s="26"/>
      <c r="D94" s="26"/>
      <c r="E94" s="26"/>
      <c r="F94" s="26"/>
      <c r="G94" s="111"/>
      <c r="H94" s="6"/>
      <c r="I94" s="107"/>
      <c r="J94" s="5"/>
      <c r="K94" s="112"/>
      <c r="M94" s="49"/>
      <c r="N94" s="6"/>
      <c r="O94" s="5"/>
      <c r="P94" s="5"/>
      <c r="Q94" s="5"/>
      <c r="R94" s="5"/>
      <c r="S94" s="6"/>
      <c r="T94" s="6"/>
    </row>
    <row r="95" spans="1:20" x14ac:dyDescent="0.35">
      <c r="B95" s="26"/>
      <c r="C95" s="26"/>
      <c r="D95" s="26"/>
      <c r="E95" s="26"/>
      <c r="F95" s="26"/>
      <c r="G95" s="111"/>
      <c r="H95" s="6"/>
      <c r="I95" s="107"/>
      <c r="J95" s="5"/>
      <c r="K95" s="112"/>
      <c r="M95" s="49"/>
      <c r="N95" s="6"/>
      <c r="O95" s="5"/>
      <c r="P95" s="5"/>
      <c r="Q95" s="5"/>
      <c r="R95" s="5"/>
      <c r="S95" s="6"/>
      <c r="T95" s="6"/>
    </row>
    <row r="96" spans="1:20" x14ac:dyDescent="0.35">
      <c r="A96" s="120" t="s">
        <v>83</v>
      </c>
      <c r="B96" s="67" t="s">
        <v>70</v>
      </c>
      <c r="C96" s="67"/>
      <c r="D96" s="67"/>
      <c r="E96" s="67"/>
      <c r="F96" s="67"/>
      <c r="G96" s="91" t="s">
        <v>32</v>
      </c>
      <c r="H96" s="85" t="s">
        <v>21</v>
      </c>
      <c r="I96" s="86">
        <v>3</v>
      </c>
      <c r="J96" s="85">
        <v>500</v>
      </c>
      <c r="K96" s="83">
        <v>1500</v>
      </c>
      <c r="M96" s="87"/>
      <c r="N96" s="67">
        <f>+SUM(N97:N98)</f>
        <v>0</v>
      </c>
      <c r="O96" s="72">
        <f>+IFERROR(P96/N96,0)</f>
        <v>0</v>
      </c>
      <c r="P96" s="72">
        <f>+SUM(P97:P98)</f>
        <v>0</v>
      </c>
      <c r="Q96" s="88">
        <f>IFERROR(P96/K96,0)</f>
        <v>0</v>
      </c>
      <c r="R96" s="72">
        <f>K96-P96</f>
        <v>1500</v>
      </c>
      <c r="S96" s="74"/>
      <c r="T96" s="67"/>
    </row>
    <row r="97" spans="1:20" x14ac:dyDescent="0.35">
      <c r="B97" s="20"/>
      <c r="C97" s="31"/>
      <c r="D97" s="31"/>
      <c r="E97" s="45"/>
      <c r="F97" s="45"/>
      <c r="G97" s="92"/>
      <c r="H97" s="6"/>
      <c r="I97" s="107"/>
      <c r="J97" s="5"/>
      <c r="K97" s="112"/>
      <c r="M97" s="49"/>
      <c r="N97" s="20"/>
      <c r="O97" s="33"/>
      <c r="P97" s="33"/>
      <c r="Q97" s="5"/>
      <c r="R97" s="5"/>
      <c r="S97" s="20"/>
      <c r="T97" s="20"/>
    </row>
    <row r="98" spans="1:20" x14ac:dyDescent="0.35">
      <c r="B98" s="20"/>
      <c r="C98" s="31"/>
      <c r="D98" s="31"/>
      <c r="E98" s="45"/>
      <c r="F98" s="45"/>
      <c r="G98" s="92"/>
      <c r="H98" s="6"/>
      <c r="I98" s="107"/>
      <c r="J98" s="5"/>
      <c r="K98" s="112"/>
      <c r="M98" s="49"/>
      <c r="N98" s="20"/>
      <c r="O98" s="33"/>
      <c r="P98" s="33"/>
      <c r="Q98" s="5"/>
      <c r="R98" s="5"/>
      <c r="S98" s="20"/>
      <c r="T98" s="20"/>
    </row>
    <row r="99" spans="1:20" x14ac:dyDescent="0.35">
      <c r="A99" s="120" t="s">
        <v>83</v>
      </c>
      <c r="B99" s="67" t="s">
        <v>72</v>
      </c>
      <c r="C99" s="67"/>
      <c r="D99" s="67"/>
      <c r="E99" s="67"/>
      <c r="F99" s="67"/>
      <c r="G99" s="91" t="s">
        <v>33</v>
      </c>
      <c r="H99" s="85" t="s">
        <v>21</v>
      </c>
      <c r="I99" s="86">
        <v>3</v>
      </c>
      <c r="J99" s="85">
        <v>20000</v>
      </c>
      <c r="K99" s="83">
        <v>60000</v>
      </c>
      <c r="M99" s="87"/>
      <c r="N99" s="67">
        <f>+SUM(N100:N101)</f>
        <v>0</v>
      </c>
      <c r="O99" s="72">
        <f>+IFERROR(P99/N99,0)</f>
        <v>0</v>
      </c>
      <c r="P99" s="72">
        <f>+SUM(P100:P101)</f>
        <v>0</v>
      </c>
      <c r="Q99" s="88">
        <f>IFERROR(P99/K99,0)</f>
        <v>0</v>
      </c>
      <c r="R99" s="72">
        <f>K99-P99</f>
        <v>60000</v>
      </c>
      <c r="S99" s="74"/>
      <c r="T99" s="67"/>
    </row>
    <row r="100" spans="1:20" x14ac:dyDescent="0.35">
      <c r="B100" s="20"/>
      <c r="C100" s="31"/>
      <c r="D100" s="31"/>
      <c r="E100" s="32"/>
      <c r="F100" s="32"/>
      <c r="G100" s="92"/>
      <c r="H100" s="20"/>
      <c r="I100" s="20"/>
      <c r="J100" s="21"/>
      <c r="K100" s="22"/>
      <c r="M100" s="30"/>
      <c r="N100" s="20"/>
      <c r="O100" s="43"/>
      <c r="P100" s="43"/>
      <c r="Q100" s="43"/>
      <c r="R100" s="21"/>
      <c r="S100" s="20"/>
      <c r="T100" s="20"/>
    </row>
    <row r="101" spans="1:20" x14ac:dyDescent="0.35">
      <c r="B101" s="20"/>
      <c r="C101" s="31"/>
      <c r="D101" s="31"/>
      <c r="E101" s="32"/>
      <c r="F101" s="32"/>
      <c r="G101" s="92"/>
      <c r="H101" s="20"/>
      <c r="I101" s="20"/>
      <c r="J101" s="21"/>
      <c r="K101" s="22"/>
      <c r="M101" s="30"/>
      <c r="N101" s="20"/>
      <c r="O101" s="43"/>
      <c r="P101" s="43"/>
      <c r="Q101" s="43"/>
      <c r="R101" s="21"/>
      <c r="S101" s="20"/>
      <c r="T101" s="20"/>
    </row>
    <row r="102" spans="1:20" x14ac:dyDescent="0.35">
      <c r="B102" s="35" t="s">
        <v>45</v>
      </c>
      <c r="C102" s="35"/>
      <c r="D102" s="35"/>
      <c r="E102" s="35"/>
      <c r="F102" s="35"/>
      <c r="G102" s="93" t="s">
        <v>34</v>
      </c>
      <c r="H102" s="9"/>
      <c r="I102" s="9"/>
      <c r="J102" s="9"/>
      <c r="K102" s="41">
        <f>+SUM(K90,K93,K96,K99)</f>
        <v>129240</v>
      </c>
      <c r="M102" s="9"/>
      <c r="N102" s="47"/>
      <c r="O102" s="41"/>
      <c r="P102" s="41">
        <f>+SUM(P90,P93,P96,P99)</f>
        <v>0</v>
      </c>
      <c r="Q102" s="41"/>
      <c r="R102" s="41">
        <f>K102-P102</f>
        <v>129240</v>
      </c>
      <c r="S102" s="48"/>
      <c r="T102" s="48"/>
    </row>
    <row r="103" spans="1:20" x14ac:dyDescent="0.35">
      <c r="A103" s="120" t="s">
        <v>82</v>
      </c>
      <c r="B103" s="53">
        <v>5</v>
      </c>
      <c r="C103" s="53"/>
      <c r="D103" s="53"/>
      <c r="E103" s="53"/>
      <c r="F103" s="53"/>
      <c r="G103" s="94" t="s">
        <v>100</v>
      </c>
      <c r="H103" s="55"/>
      <c r="I103" s="55"/>
      <c r="J103" s="55"/>
      <c r="K103" s="65">
        <f>+SUM(K102,K88,K71,K22)</f>
        <v>3472440</v>
      </c>
      <c r="M103" s="55"/>
      <c r="N103" s="60"/>
      <c r="O103" s="65"/>
      <c r="P103" s="65" t="e">
        <f>+SUM(P102,P88,P71,P22)</f>
        <v>#REF!</v>
      </c>
      <c r="Q103" s="65"/>
      <c r="R103" s="65" t="e">
        <f>K103-P103</f>
        <v>#REF!</v>
      </c>
      <c r="S103" s="66"/>
      <c r="T103" s="66"/>
    </row>
    <row r="104" spans="1:20" x14ac:dyDescent="0.35">
      <c r="B104" s="1"/>
      <c r="C104" s="1"/>
      <c r="D104" s="1"/>
      <c r="E104" s="1"/>
      <c r="F104" s="1"/>
      <c r="G104" s="1"/>
      <c r="H104" s="1"/>
      <c r="I104" s="1"/>
      <c r="J104" s="1"/>
      <c r="K104" s="1"/>
      <c r="M104" s="17"/>
      <c r="N104" s="1"/>
      <c r="O104" s="1"/>
      <c r="P104" s="115"/>
      <c r="Q104" s="1"/>
      <c r="R104" s="1"/>
      <c r="S104" s="1"/>
      <c r="T104" s="1"/>
    </row>
    <row r="105" spans="1:20" x14ac:dyDescent="0.35">
      <c r="B105" s="1"/>
      <c r="C105" s="1"/>
      <c r="D105" s="1"/>
      <c r="E105" s="1"/>
      <c r="F105" s="1"/>
      <c r="G105" s="1"/>
      <c r="H105" s="1"/>
      <c r="I105" s="1"/>
      <c r="J105" s="1"/>
      <c r="K105" s="115"/>
      <c r="M105" s="17"/>
      <c r="N105" s="1"/>
      <c r="O105" s="1"/>
      <c r="P105" s="1"/>
      <c r="Q105" s="1"/>
      <c r="R105" s="115"/>
      <c r="S105" s="1"/>
      <c r="T105" s="1"/>
    </row>
    <row r="106" spans="1:20" x14ac:dyDescent="0.35">
      <c r="B106" s="1"/>
      <c r="C106" s="1"/>
      <c r="D106" s="1"/>
      <c r="E106" s="1"/>
      <c r="F106" s="1"/>
      <c r="G106" s="1"/>
      <c r="H106" s="1"/>
      <c r="I106" s="1"/>
      <c r="J106" s="1"/>
      <c r="K106" s="1"/>
      <c r="M106" s="17"/>
      <c r="N106" s="1"/>
      <c r="O106" s="1"/>
      <c r="P106" s="116"/>
      <c r="Q106" s="1"/>
      <c r="R106" s="1"/>
      <c r="S106" s="1"/>
      <c r="T106" s="1"/>
    </row>
    <row r="107" spans="1:20" x14ac:dyDescent="0.35">
      <c r="B107" s="1"/>
      <c r="C107" s="1"/>
      <c r="D107" s="1"/>
      <c r="E107" s="1"/>
      <c r="F107" s="1"/>
      <c r="G107" s="1"/>
      <c r="H107" s="1"/>
      <c r="I107" s="1"/>
      <c r="J107" s="1"/>
      <c r="K107" s="1"/>
      <c r="M107" s="17"/>
      <c r="N107" s="1"/>
      <c r="O107" s="51"/>
      <c r="P107" s="117"/>
      <c r="Q107" s="1"/>
      <c r="R107" s="1"/>
      <c r="S107" s="1"/>
      <c r="T107" s="1"/>
    </row>
    <row r="108" spans="1:20" s="2" customFormat="1" x14ac:dyDescent="0.35">
      <c r="A108" s="123"/>
      <c r="B108" s="32" t="s">
        <v>80</v>
      </c>
      <c r="C108" s="45"/>
      <c r="D108" s="45"/>
      <c r="E108" s="45"/>
      <c r="F108" s="46"/>
      <c r="G108" s="119"/>
      <c r="H108" s="6"/>
      <c r="I108" s="107"/>
      <c r="J108" s="5"/>
      <c r="K108" s="112"/>
      <c r="L108"/>
      <c r="M108" s="49"/>
      <c r="N108" s="20"/>
      <c r="O108" s="33"/>
      <c r="P108" s="33"/>
      <c r="Q108" s="33"/>
      <c r="R108" s="33"/>
      <c r="S108" s="20"/>
      <c r="T108" s="20"/>
    </row>
    <row r="109" spans="1:20" x14ac:dyDescent="0.35">
      <c r="B109" s="32"/>
      <c r="C109" s="31"/>
      <c r="D109" s="31"/>
      <c r="E109" s="45"/>
      <c r="F109" s="46"/>
      <c r="G109" s="119"/>
      <c r="H109" s="6"/>
      <c r="I109" s="107"/>
      <c r="J109" s="5"/>
      <c r="K109" s="112"/>
      <c r="M109" s="49"/>
      <c r="N109" s="20"/>
      <c r="O109" s="33"/>
      <c r="P109" s="33"/>
      <c r="Q109" s="33"/>
      <c r="R109" s="33"/>
      <c r="S109" s="20"/>
      <c r="T109" s="20"/>
    </row>
    <row r="110" spans="1:20" x14ac:dyDescent="0.35">
      <c r="B110" s="32"/>
      <c r="C110" s="31"/>
      <c r="D110" s="31"/>
      <c r="E110" s="45"/>
      <c r="F110" s="46"/>
      <c r="G110" s="119"/>
      <c r="H110" s="6"/>
      <c r="I110" s="107"/>
      <c r="J110" s="5"/>
      <c r="K110" s="112"/>
      <c r="M110" s="49"/>
      <c r="N110" s="20"/>
      <c r="O110" s="33"/>
      <c r="P110" s="33"/>
      <c r="Q110" s="33"/>
      <c r="R110" s="33"/>
      <c r="S110" s="20"/>
      <c r="T110" s="20"/>
    </row>
    <row r="111" spans="1:20" x14ac:dyDescent="0.35"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M111" s="17"/>
      <c r="N111" s="17"/>
      <c r="O111" s="17"/>
      <c r="P111" s="17"/>
      <c r="Q111" s="17"/>
      <c r="R111" s="17"/>
      <c r="S111" s="17"/>
      <c r="T111" s="17"/>
    </row>
    <row r="112" spans="1:20" x14ac:dyDescent="0.35"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M112" s="17"/>
      <c r="N112" s="17"/>
      <c r="O112" s="17"/>
      <c r="P112" s="17"/>
      <c r="Q112" s="17"/>
      <c r="R112" s="17"/>
      <c r="S112" s="17"/>
      <c r="T112" s="17"/>
    </row>
    <row r="113" spans="2:20" x14ac:dyDescent="0.35"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M113" s="17"/>
      <c r="N113" s="17"/>
      <c r="O113" s="17"/>
      <c r="P113" s="17"/>
      <c r="Q113" s="17"/>
      <c r="R113" s="17"/>
      <c r="S113" s="17"/>
      <c r="T113" s="17"/>
    </row>
    <row r="114" spans="2:20" x14ac:dyDescent="0.35"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M114" s="17"/>
      <c r="N114" s="17"/>
      <c r="O114" s="17"/>
      <c r="P114" s="17"/>
      <c r="Q114" s="17"/>
      <c r="R114" s="17"/>
      <c r="S114" s="17"/>
      <c r="T114" s="17"/>
    </row>
    <row r="115" spans="2:20" x14ac:dyDescent="0.35"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M115" s="17"/>
      <c r="N115" s="17"/>
      <c r="O115" s="17"/>
      <c r="P115" s="17"/>
      <c r="Q115" s="17"/>
      <c r="R115" s="17"/>
      <c r="S115" s="17"/>
      <c r="T115" s="17"/>
    </row>
    <row r="116" spans="2:20" x14ac:dyDescent="0.35"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M116" s="17"/>
      <c r="N116" s="17"/>
      <c r="O116" s="17"/>
      <c r="P116" s="17"/>
      <c r="Q116" s="17"/>
      <c r="R116" s="17"/>
      <c r="S116" s="17"/>
      <c r="T116" s="17"/>
    </row>
    <row r="117" spans="2:20" x14ac:dyDescent="0.35"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M117" s="17"/>
      <c r="N117" s="17"/>
      <c r="O117" s="17"/>
      <c r="P117" s="17"/>
      <c r="Q117" s="17"/>
      <c r="R117" s="17"/>
      <c r="S117" s="17"/>
      <c r="T117" s="17"/>
    </row>
    <row r="118" spans="2:20" x14ac:dyDescent="0.35"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M118" s="17"/>
      <c r="N118" s="17"/>
      <c r="O118" s="17"/>
      <c r="P118" s="17"/>
      <c r="Q118" s="17"/>
      <c r="R118" s="17"/>
      <c r="S118" s="17"/>
      <c r="T118" s="17"/>
    </row>
    <row r="119" spans="2:20" x14ac:dyDescent="0.35"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M119" s="17"/>
      <c r="N119" s="17"/>
      <c r="O119" s="17"/>
      <c r="P119" s="17"/>
      <c r="Q119" s="17"/>
      <c r="R119" s="17"/>
      <c r="S119" s="17"/>
      <c r="T119" s="17"/>
    </row>
    <row r="120" spans="2:20" x14ac:dyDescent="0.35"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M120" s="17"/>
      <c r="N120" s="17"/>
      <c r="O120" s="17"/>
      <c r="P120" s="17"/>
      <c r="Q120" s="17"/>
      <c r="R120" s="17"/>
      <c r="S120" s="17"/>
      <c r="T120" s="17"/>
    </row>
    <row r="121" spans="2:20" x14ac:dyDescent="0.35"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M121" s="17"/>
      <c r="N121" s="17"/>
      <c r="O121" s="17"/>
      <c r="P121" s="17"/>
      <c r="Q121" s="17"/>
      <c r="R121" s="17"/>
      <c r="S121" s="17"/>
      <c r="T121" s="17"/>
    </row>
    <row r="122" spans="2:20" x14ac:dyDescent="0.35"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M122" s="17"/>
      <c r="N122" s="17"/>
      <c r="O122" s="17"/>
      <c r="P122" s="17"/>
      <c r="Q122" s="17"/>
      <c r="R122" s="17"/>
      <c r="S122" s="17"/>
      <c r="T122" s="17"/>
    </row>
    <row r="123" spans="2:20" x14ac:dyDescent="0.35"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M123" s="17"/>
      <c r="N123" s="17"/>
      <c r="O123" s="17"/>
      <c r="P123" s="17"/>
      <c r="Q123" s="17"/>
      <c r="R123" s="17"/>
      <c r="S123" s="17"/>
      <c r="T123" s="17"/>
    </row>
    <row r="124" spans="2:20" x14ac:dyDescent="0.35"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M124" s="17"/>
      <c r="N124" s="17"/>
      <c r="O124" s="17"/>
      <c r="P124" s="17"/>
      <c r="Q124" s="17"/>
      <c r="R124" s="17"/>
      <c r="S124" s="17"/>
      <c r="T124" s="17"/>
    </row>
    <row r="125" spans="2:20" x14ac:dyDescent="0.35"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M125" s="17"/>
      <c r="N125" s="17"/>
      <c r="O125" s="17"/>
      <c r="P125" s="17"/>
      <c r="Q125" s="17"/>
      <c r="R125" s="17"/>
      <c r="S125" s="17"/>
      <c r="T125" s="17"/>
    </row>
    <row r="126" spans="2:20" x14ac:dyDescent="0.35"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M126" s="17"/>
      <c r="N126" s="17"/>
      <c r="O126" s="17"/>
      <c r="P126" s="17"/>
      <c r="Q126" s="17"/>
      <c r="R126" s="17"/>
      <c r="S126" s="17"/>
      <c r="T126" s="17"/>
    </row>
    <row r="127" spans="2:20" x14ac:dyDescent="0.35"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M127" s="17"/>
      <c r="N127" s="17"/>
      <c r="O127" s="17"/>
      <c r="P127" s="17"/>
      <c r="Q127" s="17"/>
      <c r="R127" s="17"/>
      <c r="S127" s="17"/>
      <c r="T127" s="17"/>
    </row>
    <row r="128" spans="2:20" x14ac:dyDescent="0.35"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M128" s="17"/>
      <c r="N128" s="17"/>
      <c r="O128" s="17"/>
      <c r="P128" s="17"/>
      <c r="Q128" s="17"/>
      <c r="R128" s="17"/>
      <c r="S128" s="17"/>
      <c r="T128" s="17"/>
    </row>
    <row r="129" spans="2:20" x14ac:dyDescent="0.35"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M129" s="17"/>
      <c r="N129" s="17"/>
      <c r="O129" s="17"/>
      <c r="P129" s="17"/>
      <c r="Q129" s="17"/>
      <c r="R129" s="17"/>
      <c r="S129" s="17"/>
      <c r="T129" s="17"/>
    </row>
    <row r="130" spans="2:20" x14ac:dyDescent="0.35"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M130" s="17"/>
      <c r="N130" s="17"/>
      <c r="O130" s="17"/>
      <c r="P130" s="17"/>
      <c r="Q130" s="17"/>
      <c r="R130" s="17"/>
      <c r="S130" s="17"/>
      <c r="T130" s="17"/>
    </row>
    <row r="131" spans="2:20" x14ac:dyDescent="0.35"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M131" s="17"/>
      <c r="N131" s="17"/>
      <c r="O131" s="17"/>
      <c r="P131" s="17"/>
      <c r="Q131" s="17"/>
      <c r="R131" s="17"/>
      <c r="S131" s="17"/>
      <c r="T131" s="17"/>
    </row>
    <row r="132" spans="2:20" x14ac:dyDescent="0.35"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M132" s="17"/>
      <c r="N132" s="17"/>
      <c r="O132" s="17"/>
      <c r="P132" s="17"/>
      <c r="Q132" s="17"/>
      <c r="R132" s="17"/>
      <c r="S132" s="17"/>
      <c r="T132" s="17"/>
    </row>
    <row r="133" spans="2:20" x14ac:dyDescent="0.35"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M133" s="17"/>
      <c r="N133" s="17"/>
      <c r="O133" s="17"/>
      <c r="P133" s="17"/>
      <c r="Q133" s="17"/>
      <c r="R133" s="17"/>
      <c r="S133" s="17"/>
      <c r="T133" s="17"/>
    </row>
    <row r="134" spans="2:20" x14ac:dyDescent="0.35"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M134" s="17"/>
      <c r="N134" s="17"/>
      <c r="O134" s="17"/>
      <c r="P134" s="17"/>
      <c r="Q134" s="17"/>
      <c r="R134" s="17"/>
      <c r="S134" s="17"/>
      <c r="T134" s="17"/>
    </row>
    <row r="135" spans="2:20" x14ac:dyDescent="0.35"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M135" s="17"/>
      <c r="N135" s="17"/>
      <c r="O135" s="17"/>
      <c r="P135" s="17"/>
      <c r="Q135" s="17"/>
      <c r="R135" s="17"/>
      <c r="S135" s="17"/>
      <c r="T135" s="17"/>
    </row>
    <row r="136" spans="2:20" x14ac:dyDescent="0.35"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M136" s="17"/>
      <c r="N136" s="17"/>
      <c r="O136" s="17"/>
      <c r="P136" s="17"/>
      <c r="Q136" s="17"/>
      <c r="R136" s="17"/>
      <c r="S136" s="17"/>
      <c r="T136" s="17"/>
    </row>
    <row r="137" spans="2:20" x14ac:dyDescent="0.35"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M137" s="17"/>
      <c r="N137" s="17"/>
      <c r="O137" s="17"/>
      <c r="P137" s="17"/>
      <c r="Q137" s="17"/>
      <c r="R137" s="17"/>
      <c r="S137" s="17"/>
      <c r="T137" s="17"/>
    </row>
    <row r="138" spans="2:20" x14ac:dyDescent="0.35"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M138" s="17"/>
      <c r="N138" s="17"/>
      <c r="O138" s="17"/>
      <c r="P138" s="17"/>
      <c r="Q138" s="17"/>
      <c r="R138" s="17"/>
      <c r="S138" s="17"/>
      <c r="T138" s="17"/>
    </row>
    <row r="139" spans="2:20" x14ac:dyDescent="0.35"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M139" s="17"/>
      <c r="N139" s="17"/>
      <c r="O139" s="17"/>
      <c r="P139" s="17"/>
      <c r="Q139" s="17"/>
      <c r="R139" s="17"/>
      <c r="S139" s="17"/>
      <c r="T139" s="17"/>
    </row>
    <row r="140" spans="2:20" x14ac:dyDescent="0.35"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M140" s="17"/>
      <c r="N140" s="17"/>
      <c r="O140" s="17"/>
      <c r="P140" s="17"/>
      <c r="Q140" s="17"/>
      <c r="R140" s="17"/>
      <c r="S140" s="17"/>
      <c r="T140" s="17"/>
    </row>
    <row r="141" spans="2:20" x14ac:dyDescent="0.35"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M141" s="17"/>
      <c r="N141" s="17"/>
      <c r="O141" s="17"/>
      <c r="P141" s="17"/>
      <c r="Q141" s="17"/>
      <c r="R141" s="17"/>
      <c r="S141" s="17"/>
      <c r="T141" s="17"/>
    </row>
    <row r="142" spans="2:20" x14ac:dyDescent="0.35"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M142" s="17"/>
      <c r="N142" s="17"/>
      <c r="O142" s="17"/>
      <c r="P142" s="17"/>
      <c r="Q142" s="17"/>
      <c r="R142" s="17"/>
      <c r="S142" s="17"/>
      <c r="T142" s="17"/>
    </row>
    <row r="143" spans="2:20" x14ac:dyDescent="0.35"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M143" s="17"/>
      <c r="N143" s="17"/>
      <c r="O143" s="17"/>
      <c r="P143" s="17"/>
      <c r="Q143" s="17"/>
      <c r="R143" s="17"/>
      <c r="S143" s="17"/>
      <c r="T143" s="17"/>
    </row>
    <row r="144" spans="2:20" x14ac:dyDescent="0.35"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M144" s="17"/>
      <c r="N144" s="17"/>
      <c r="O144" s="17"/>
      <c r="P144" s="17"/>
      <c r="Q144" s="17"/>
      <c r="R144" s="17"/>
      <c r="S144" s="17"/>
      <c r="T144" s="17"/>
    </row>
    <row r="145" spans="1:20" x14ac:dyDescent="0.35"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M145" s="17"/>
      <c r="N145" s="17"/>
      <c r="O145" s="17"/>
      <c r="P145" s="17"/>
      <c r="Q145" s="17"/>
      <c r="R145" s="17"/>
      <c r="S145" s="17"/>
      <c r="T145" s="17"/>
    </row>
    <row r="146" spans="1:20" x14ac:dyDescent="0.35"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M146" s="17"/>
      <c r="N146" s="17"/>
      <c r="O146" s="17"/>
      <c r="P146" s="17"/>
      <c r="Q146" s="17"/>
      <c r="R146" s="17"/>
      <c r="S146" s="17"/>
      <c r="T146" s="17"/>
    </row>
    <row r="147" spans="1:20" x14ac:dyDescent="0.35"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M147" s="17"/>
      <c r="N147" s="17"/>
      <c r="O147" s="17"/>
      <c r="P147" s="17"/>
      <c r="Q147" s="17"/>
      <c r="R147" s="17"/>
      <c r="S147" s="17"/>
      <c r="T147" s="17"/>
    </row>
    <row r="148" spans="1:20" x14ac:dyDescent="0.35"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M148" s="17"/>
      <c r="N148" s="17"/>
      <c r="O148" s="17"/>
      <c r="P148" s="17"/>
      <c r="Q148" s="17"/>
      <c r="R148" s="17"/>
      <c r="S148" s="17"/>
      <c r="T148" s="17"/>
    </row>
    <row r="149" spans="1:20" x14ac:dyDescent="0.35"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M149" s="17"/>
      <c r="N149" s="17"/>
      <c r="O149" s="17"/>
      <c r="P149" s="17"/>
      <c r="Q149" s="17"/>
      <c r="R149" s="17"/>
      <c r="S149" s="17"/>
      <c r="T149" s="17"/>
    </row>
    <row r="150" spans="1:20" x14ac:dyDescent="0.35">
      <c r="A150" s="124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M150" s="17"/>
      <c r="N150" s="17"/>
      <c r="O150" s="17"/>
      <c r="P150" s="17"/>
      <c r="Q150" s="17"/>
      <c r="R150" s="17"/>
      <c r="S150" s="17"/>
      <c r="T150" s="17"/>
    </row>
    <row r="151" spans="1:20" x14ac:dyDescent="0.35">
      <c r="A151" s="124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M151" s="17"/>
      <c r="N151" s="17"/>
      <c r="O151" s="17"/>
      <c r="P151" s="17"/>
      <c r="Q151" s="17"/>
      <c r="R151" s="17"/>
      <c r="S151" s="17"/>
      <c r="T151" s="17"/>
    </row>
    <row r="152" spans="1:20" x14ac:dyDescent="0.35">
      <c r="A152" s="124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M152" s="17"/>
      <c r="N152" s="17"/>
      <c r="O152" s="17"/>
      <c r="P152" s="17"/>
      <c r="Q152" s="17"/>
      <c r="R152" s="17"/>
      <c r="S152" s="17"/>
      <c r="T152" s="17"/>
    </row>
    <row r="153" spans="1:20" x14ac:dyDescent="0.35">
      <c r="A153" s="124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M153" s="17"/>
      <c r="N153" s="17"/>
      <c r="O153" s="17"/>
      <c r="P153" s="17"/>
      <c r="Q153" s="17"/>
      <c r="R153" s="17"/>
      <c r="S153" s="17"/>
      <c r="T153" s="17"/>
    </row>
    <row r="154" spans="1:20" x14ac:dyDescent="0.35">
      <c r="A154" s="124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M154" s="17"/>
      <c r="N154" s="17"/>
      <c r="O154" s="17"/>
      <c r="P154" s="17"/>
      <c r="Q154" s="17"/>
      <c r="R154" s="17"/>
      <c r="S154" s="17"/>
      <c r="T154" s="17"/>
    </row>
    <row r="155" spans="1:20" x14ac:dyDescent="0.35">
      <c r="A155" s="124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M155" s="17"/>
      <c r="N155" s="17"/>
      <c r="O155" s="17"/>
      <c r="P155" s="17"/>
      <c r="Q155" s="17"/>
      <c r="R155" s="17"/>
      <c r="S155" s="17"/>
      <c r="T155" s="17"/>
    </row>
    <row r="156" spans="1:20" x14ac:dyDescent="0.35">
      <c r="A156" s="124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M156" s="17"/>
      <c r="N156" s="17"/>
      <c r="O156" s="17"/>
      <c r="P156" s="17"/>
      <c r="Q156" s="17"/>
      <c r="R156" s="17"/>
      <c r="S156" s="17"/>
      <c r="T156" s="17"/>
    </row>
    <row r="157" spans="1:20" x14ac:dyDescent="0.35">
      <c r="A157" s="124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M157" s="17"/>
      <c r="N157" s="17"/>
      <c r="O157" s="17"/>
      <c r="P157" s="17"/>
      <c r="Q157" s="17"/>
      <c r="R157" s="17"/>
      <c r="S157" s="17"/>
      <c r="T157" s="17"/>
    </row>
    <row r="158" spans="1:20" x14ac:dyDescent="0.35">
      <c r="A158" s="124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M158" s="17"/>
      <c r="N158" s="17"/>
      <c r="O158" s="17"/>
      <c r="P158" s="17"/>
      <c r="Q158" s="17"/>
      <c r="R158" s="17"/>
      <c r="S158" s="17"/>
      <c r="T158" s="17"/>
    </row>
    <row r="159" spans="1:20" x14ac:dyDescent="0.35">
      <c r="A159" s="124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M159" s="17"/>
      <c r="N159" s="17"/>
      <c r="O159" s="17"/>
      <c r="P159" s="17"/>
      <c r="Q159" s="17"/>
      <c r="R159" s="17"/>
      <c r="S159" s="17"/>
      <c r="T159" s="17"/>
    </row>
    <row r="160" spans="1:20" x14ac:dyDescent="0.35">
      <c r="A160" s="124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M160" s="17"/>
      <c r="N160" s="17"/>
      <c r="O160" s="17"/>
      <c r="P160" s="17"/>
      <c r="Q160" s="17"/>
      <c r="R160" s="17"/>
      <c r="S160" s="17"/>
      <c r="T160" s="17"/>
    </row>
    <row r="161" spans="1:20" x14ac:dyDescent="0.35">
      <c r="A161" s="124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M161" s="17"/>
      <c r="N161" s="17"/>
      <c r="O161" s="17"/>
      <c r="P161" s="17"/>
      <c r="Q161" s="17"/>
      <c r="R161" s="17"/>
      <c r="S161" s="17"/>
      <c r="T161" s="17"/>
    </row>
    <row r="162" spans="1:20" x14ac:dyDescent="0.35">
      <c r="A162" s="124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M162" s="17"/>
      <c r="N162" s="17"/>
      <c r="O162" s="17"/>
      <c r="P162" s="17"/>
      <c r="Q162" s="17"/>
      <c r="R162" s="17"/>
      <c r="S162" s="17"/>
      <c r="T162" s="17"/>
    </row>
    <row r="163" spans="1:20" x14ac:dyDescent="0.35">
      <c r="A163" s="124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M163" s="17"/>
      <c r="N163" s="17"/>
      <c r="O163" s="17"/>
      <c r="P163" s="17"/>
      <c r="Q163" s="17"/>
      <c r="R163" s="17"/>
      <c r="S163" s="17"/>
      <c r="T163" s="17"/>
    </row>
    <row r="164" spans="1:20" x14ac:dyDescent="0.35">
      <c r="A164" s="124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M164" s="17"/>
      <c r="N164" s="17"/>
      <c r="O164" s="17"/>
      <c r="P164" s="17"/>
      <c r="Q164" s="17"/>
      <c r="R164" s="17"/>
      <c r="S164" s="17"/>
      <c r="T164" s="17"/>
    </row>
    <row r="165" spans="1:20" x14ac:dyDescent="0.35">
      <c r="A165" s="124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M165" s="17"/>
      <c r="N165" s="17"/>
      <c r="O165" s="17"/>
      <c r="P165" s="17"/>
      <c r="Q165" s="17"/>
      <c r="R165" s="17"/>
      <c r="S165" s="17"/>
      <c r="T165" s="17"/>
    </row>
    <row r="166" spans="1:20" x14ac:dyDescent="0.35">
      <c r="A166" s="124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M166" s="17"/>
      <c r="N166" s="17"/>
      <c r="O166" s="17"/>
      <c r="P166" s="17"/>
      <c r="Q166" s="17"/>
      <c r="R166" s="17"/>
      <c r="S166" s="17"/>
      <c r="T166" s="17"/>
    </row>
    <row r="167" spans="1:20" x14ac:dyDescent="0.35">
      <c r="A167" s="124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M167" s="17"/>
      <c r="N167" s="17"/>
      <c r="O167" s="17"/>
      <c r="P167" s="17"/>
      <c r="Q167" s="17"/>
      <c r="R167" s="17"/>
      <c r="S167" s="17"/>
      <c r="T167" s="17"/>
    </row>
    <row r="168" spans="1:20" x14ac:dyDescent="0.35">
      <c r="A168" s="124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M168" s="17"/>
      <c r="N168" s="17"/>
      <c r="O168" s="17"/>
      <c r="P168" s="17"/>
      <c r="Q168" s="17"/>
      <c r="R168" s="17"/>
      <c r="S168" s="17"/>
      <c r="T168" s="17"/>
    </row>
    <row r="169" spans="1:20" x14ac:dyDescent="0.35">
      <c r="A169" s="124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M169" s="17"/>
      <c r="N169" s="17"/>
      <c r="O169" s="17"/>
      <c r="P169" s="17"/>
      <c r="Q169" s="17"/>
      <c r="R169" s="17"/>
      <c r="S169" s="17"/>
      <c r="T169" s="17"/>
    </row>
    <row r="170" spans="1:20" x14ac:dyDescent="0.35">
      <c r="A170" s="124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M170" s="17"/>
      <c r="N170" s="17"/>
      <c r="O170" s="17"/>
      <c r="P170" s="17"/>
      <c r="Q170" s="17"/>
      <c r="R170" s="17"/>
      <c r="S170" s="17"/>
      <c r="T170" s="17"/>
    </row>
    <row r="171" spans="1:20" x14ac:dyDescent="0.35">
      <c r="A171" s="124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M171" s="17"/>
      <c r="N171" s="17"/>
      <c r="O171" s="17"/>
      <c r="P171" s="17"/>
      <c r="Q171" s="17"/>
      <c r="R171" s="17"/>
      <c r="S171" s="17"/>
      <c r="T171" s="17"/>
    </row>
    <row r="172" spans="1:20" x14ac:dyDescent="0.35">
      <c r="A172" s="124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M172" s="17"/>
      <c r="N172" s="17"/>
      <c r="O172" s="17"/>
      <c r="P172" s="17"/>
      <c r="Q172" s="17"/>
      <c r="R172" s="17"/>
      <c r="S172" s="17"/>
      <c r="T172" s="17"/>
    </row>
    <row r="173" spans="1:20" x14ac:dyDescent="0.35">
      <c r="A173" s="124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M173" s="17"/>
      <c r="N173" s="17"/>
      <c r="O173" s="17"/>
      <c r="P173" s="17"/>
      <c r="Q173" s="17"/>
      <c r="R173" s="17"/>
      <c r="S173" s="17"/>
      <c r="T173" s="17"/>
    </row>
    <row r="174" spans="1:20" x14ac:dyDescent="0.35">
      <c r="A174" s="124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M174" s="17"/>
      <c r="N174" s="17"/>
      <c r="O174" s="17"/>
      <c r="P174" s="17"/>
      <c r="Q174" s="17"/>
      <c r="R174" s="17"/>
      <c r="S174" s="17"/>
      <c r="T174" s="17"/>
    </row>
    <row r="175" spans="1:20" x14ac:dyDescent="0.35">
      <c r="A175" s="124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M175" s="17"/>
      <c r="N175" s="17"/>
      <c r="O175" s="17"/>
      <c r="P175" s="17"/>
      <c r="Q175" s="17"/>
      <c r="R175" s="17"/>
      <c r="S175" s="17"/>
      <c r="T175" s="17"/>
    </row>
    <row r="176" spans="1:20" x14ac:dyDescent="0.35">
      <c r="A176" s="124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M176" s="17"/>
      <c r="N176" s="17"/>
      <c r="O176" s="17"/>
      <c r="P176" s="17"/>
      <c r="Q176" s="17"/>
      <c r="R176" s="17"/>
      <c r="S176" s="17"/>
      <c r="T176" s="17"/>
    </row>
    <row r="177" spans="1:20" x14ac:dyDescent="0.35">
      <c r="A177" s="124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M177" s="17"/>
      <c r="N177" s="17"/>
      <c r="O177" s="17"/>
      <c r="P177" s="17"/>
      <c r="Q177" s="17"/>
      <c r="R177" s="17"/>
      <c r="S177" s="17"/>
      <c r="T177" s="17"/>
    </row>
    <row r="178" spans="1:20" x14ac:dyDescent="0.35">
      <c r="A178" s="124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M178" s="17"/>
      <c r="N178" s="17"/>
      <c r="O178" s="17"/>
      <c r="P178" s="17"/>
      <c r="Q178" s="17"/>
      <c r="R178" s="17"/>
      <c r="S178" s="17"/>
      <c r="T178" s="17"/>
    </row>
    <row r="179" spans="1:20" x14ac:dyDescent="0.35">
      <c r="A179" s="124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M179" s="17"/>
      <c r="N179" s="17"/>
      <c r="O179" s="17"/>
      <c r="P179" s="17"/>
      <c r="Q179" s="17"/>
      <c r="R179" s="17"/>
      <c r="S179" s="17"/>
      <c r="T179" s="17"/>
    </row>
    <row r="180" spans="1:20" x14ac:dyDescent="0.35">
      <c r="A180" s="124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M180" s="17"/>
      <c r="N180" s="17"/>
      <c r="O180" s="17"/>
      <c r="P180" s="17"/>
      <c r="Q180" s="17"/>
      <c r="R180" s="17"/>
      <c r="S180" s="17"/>
      <c r="T180" s="17"/>
    </row>
    <row r="181" spans="1:20" x14ac:dyDescent="0.35">
      <c r="A181" s="124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M181" s="17"/>
      <c r="N181" s="17"/>
      <c r="O181" s="17"/>
      <c r="P181" s="17"/>
      <c r="Q181" s="17"/>
      <c r="R181" s="17"/>
      <c r="S181" s="17"/>
      <c r="T181" s="17"/>
    </row>
    <row r="182" spans="1:20" x14ac:dyDescent="0.35">
      <c r="A182" s="124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M182" s="17"/>
      <c r="N182" s="17"/>
      <c r="O182" s="17"/>
      <c r="P182" s="17"/>
      <c r="Q182" s="17"/>
      <c r="R182" s="17"/>
      <c r="S182" s="17"/>
      <c r="T182" s="17"/>
    </row>
    <row r="183" spans="1:20" x14ac:dyDescent="0.35">
      <c r="A183" s="124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M183" s="17"/>
      <c r="N183" s="17"/>
      <c r="O183" s="17"/>
      <c r="P183" s="17"/>
      <c r="Q183" s="17"/>
      <c r="R183" s="17"/>
      <c r="S183" s="17"/>
      <c r="T183" s="17"/>
    </row>
    <row r="184" spans="1:20" x14ac:dyDescent="0.35">
      <c r="A184" s="124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M184" s="17"/>
      <c r="N184" s="17"/>
      <c r="O184" s="17"/>
      <c r="P184" s="17"/>
      <c r="Q184" s="17"/>
      <c r="R184" s="17"/>
      <c r="S184" s="17"/>
      <c r="T184" s="17"/>
    </row>
    <row r="185" spans="1:20" x14ac:dyDescent="0.35">
      <c r="A185" s="124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M185" s="17"/>
      <c r="N185" s="17"/>
      <c r="O185" s="17"/>
      <c r="P185" s="17"/>
      <c r="Q185" s="17"/>
      <c r="R185" s="17"/>
      <c r="S185" s="17"/>
      <c r="T185" s="17"/>
    </row>
    <row r="186" spans="1:20" x14ac:dyDescent="0.35">
      <c r="A186" s="124"/>
      <c r="B186" s="17"/>
      <c r="C186" s="17"/>
    </row>
    <row r="187" spans="1:20" x14ac:dyDescent="0.35">
      <c r="A187" s="124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M187" s="17"/>
      <c r="N187" s="17"/>
      <c r="O187" s="17"/>
      <c r="P187" s="17"/>
      <c r="Q187" s="17"/>
      <c r="R187" s="17"/>
      <c r="S187" s="17"/>
      <c r="T187" s="17"/>
    </row>
    <row r="188" spans="1:20" x14ac:dyDescent="0.35">
      <c r="A188" s="124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M188" s="17"/>
      <c r="N188" s="17"/>
      <c r="O188" s="17"/>
      <c r="P188" s="17"/>
      <c r="Q188" s="17"/>
      <c r="R188" s="17"/>
      <c r="S188" s="17"/>
      <c r="T188" s="17"/>
    </row>
    <row r="189" spans="1:20" x14ac:dyDescent="0.35">
      <c r="A189" s="124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M189" s="17"/>
      <c r="N189" s="17"/>
      <c r="O189" s="17"/>
      <c r="P189" s="17"/>
      <c r="Q189" s="17"/>
      <c r="R189" s="17"/>
      <c r="S189" s="17"/>
      <c r="T189" s="17"/>
    </row>
    <row r="190" spans="1:20" x14ac:dyDescent="0.35">
      <c r="A190" s="124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M190" s="17"/>
      <c r="N190" s="17"/>
      <c r="O190" s="17"/>
      <c r="P190" s="17"/>
      <c r="Q190" s="17"/>
      <c r="R190" s="17"/>
      <c r="S190" s="17"/>
      <c r="T190" s="17"/>
    </row>
    <row r="191" spans="1:20" x14ac:dyDescent="0.35">
      <c r="A191" s="124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M191" s="17"/>
      <c r="N191" s="17"/>
      <c r="O191" s="17"/>
      <c r="P191" s="17"/>
      <c r="Q191" s="17"/>
      <c r="R191" s="17"/>
      <c r="S191" s="17"/>
      <c r="T191" s="17"/>
    </row>
    <row r="192" spans="1:20" x14ac:dyDescent="0.35">
      <c r="A192" s="124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M192" s="17"/>
      <c r="N192" s="17"/>
      <c r="O192" s="17"/>
      <c r="P192" s="17"/>
      <c r="Q192" s="17"/>
      <c r="R192" s="17"/>
      <c r="S192" s="17"/>
      <c r="T192" s="17"/>
    </row>
    <row r="193" spans="1:20" x14ac:dyDescent="0.35">
      <c r="A193" s="124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M193" s="17"/>
      <c r="N193" s="17"/>
      <c r="O193" s="17"/>
      <c r="P193" s="17"/>
      <c r="Q193" s="17"/>
      <c r="R193" s="17"/>
      <c r="S193" s="17"/>
      <c r="T193" s="17"/>
    </row>
    <row r="194" spans="1:20" x14ac:dyDescent="0.35">
      <c r="A194" s="124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M194" s="17"/>
      <c r="N194" s="17"/>
      <c r="O194" s="17"/>
      <c r="P194" s="17"/>
      <c r="Q194" s="17"/>
      <c r="R194" s="17"/>
      <c r="S194" s="17"/>
      <c r="T194" s="17"/>
    </row>
    <row r="195" spans="1:20" x14ac:dyDescent="0.35">
      <c r="A195" s="124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M195" s="17"/>
      <c r="N195" s="17"/>
      <c r="O195" s="17"/>
      <c r="P195" s="17"/>
      <c r="Q195" s="17"/>
      <c r="R195" s="17"/>
      <c r="S195" s="17"/>
      <c r="T195" s="17"/>
    </row>
    <row r="196" spans="1:20" x14ac:dyDescent="0.35">
      <c r="A196" s="124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M196" s="17"/>
      <c r="N196" s="17"/>
      <c r="O196" s="17"/>
      <c r="P196" s="17"/>
      <c r="Q196" s="17"/>
      <c r="R196" s="17"/>
      <c r="S196" s="17"/>
      <c r="T196" s="17"/>
    </row>
    <row r="197" spans="1:20" x14ac:dyDescent="0.35">
      <c r="A197" s="124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M197" s="17"/>
      <c r="N197" s="17"/>
      <c r="O197" s="17"/>
      <c r="P197" s="17"/>
      <c r="Q197" s="17"/>
      <c r="R197" s="17"/>
      <c r="S197" s="17"/>
      <c r="T197" s="17"/>
    </row>
    <row r="198" spans="1:20" x14ac:dyDescent="0.35">
      <c r="A198" s="124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M198" s="17"/>
      <c r="N198" s="17"/>
      <c r="O198" s="17"/>
      <c r="P198" s="17"/>
      <c r="Q198" s="17"/>
      <c r="R198" s="17"/>
      <c r="S198" s="17"/>
      <c r="T198" s="17"/>
    </row>
    <row r="199" spans="1:20" x14ac:dyDescent="0.35">
      <c r="A199" s="124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M199" s="17"/>
      <c r="N199" s="17"/>
      <c r="O199" s="17"/>
      <c r="P199" s="17"/>
      <c r="Q199" s="17"/>
      <c r="R199" s="17"/>
      <c r="S199" s="17"/>
      <c r="T199" s="17"/>
    </row>
    <row r="200" spans="1:20" x14ac:dyDescent="0.35">
      <c r="A200" s="124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M200" s="17"/>
      <c r="N200" s="17"/>
      <c r="O200" s="17"/>
      <c r="P200" s="17"/>
      <c r="Q200" s="17"/>
      <c r="R200" s="17"/>
      <c r="S200" s="17"/>
      <c r="T200" s="17"/>
    </row>
    <row r="201" spans="1:20" x14ac:dyDescent="0.35">
      <c r="A201" s="124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M201" s="17"/>
      <c r="N201" s="17"/>
      <c r="O201" s="17"/>
      <c r="P201" s="17"/>
      <c r="Q201" s="17"/>
      <c r="R201" s="17"/>
      <c r="S201" s="17"/>
      <c r="T201" s="17"/>
    </row>
    <row r="202" spans="1:20" x14ac:dyDescent="0.35">
      <c r="A202" s="124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M202" s="17"/>
      <c r="N202" s="17"/>
      <c r="O202" s="17"/>
      <c r="P202" s="17"/>
      <c r="Q202" s="17"/>
      <c r="R202" s="17"/>
      <c r="S202" s="17"/>
      <c r="T202" s="17"/>
    </row>
    <row r="203" spans="1:20" x14ac:dyDescent="0.35">
      <c r="A203" s="124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M203" s="17"/>
      <c r="N203" s="17"/>
      <c r="O203" s="17"/>
      <c r="P203" s="17"/>
      <c r="Q203" s="17"/>
      <c r="R203" s="17"/>
      <c r="S203" s="17"/>
      <c r="T203" s="17"/>
    </row>
    <row r="204" spans="1:20" x14ac:dyDescent="0.35">
      <c r="A204" s="124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M204" s="17"/>
      <c r="N204" s="17"/>
      <c r="O204" s="17"/>
      <c r="P204" s="17"/>
      <c r="Q204" s="17"/>
      <c r="R204" s="17"/>
      <c r="S204" s="17"/>
      <c r="T204" s="17"/>
    </row>
    <row r="205" spans="1:20" x14ac:dyDescent="0.35">
      <c r="A205" s="124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M205" s="17"/>
      <c r="N205" s="17"/>
      <c r="O205" s="17"/>
      <c r="P205" s="17"/>
      <c r="Q205" s="17"/>
      <c r="R205" s="17"/>
      <c r="S205" s="17"/>
      <c r="T205" s="17"/>
    </row>
    <row r="206" spans="1:20" x14ac:dyDescent="0.35">
      <c r="A206" s="124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M206" s="17"/>
      <c r="N206" s="17"/>
      <c r="O206" s="17"/>
      <c r="P206" s="17"/>
      <c r="Q206" s="17"/>
      <c r="R206" s="17"/>
      <c r="S206" s="17"/>
      <c r="T206" s="17"/>
    </row>
    <row r="207" spans="1:20" x14ac:dyDescent="0.35">
      <c r="A207" s="124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M207" s="17"/>
      <c r="N207" s="17"/>
      <c r="O207" s="17"/>
      <c r="P207" s="17"/>
      <c r="Q207" s="17"/>
      <c r="R207" s="17"/>
      <c r="S207" s="17"/>
      <c r="T207" s="17"/>
    </row>
    <row r="208" spans="1:20" x14ac:dyDescent="0.35">
      <c r="A208" s="124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M208" s="17"/>
      <c r="N208" s="17"/>
      <c r="O208" s="17"/>
      <c r="P208" s="17"/>
      <c r="Q208" s="17"/>
      <c r="R208" s="17"/>
      <c r="S208" s="17"/>
      <c r="T208" s="17"/>
    </row>
    <row r="209" spans="1:20" x14ac:dyDescent="0.35">
      <c r="A209" s="124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M209" s="17"/>
      <c r="N209" s="17"/>
      <c r="O209" s="17"/>
      <c r="P209" s="17"/>
      <c r="Q209" s="17"/>
      <c r="R209" s="17"/>
      <c r="S209" s="17"/>
      <c r="T209" s="17"/>
    </row>
    <row r="210" spans="1:20" x14ac:dyDescent="0.35">
      <c r="A210" s="124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M210" s="17"/>
      <c r="N210" s="17"/>
      <c r="O210" s="17"/>
      <c r="P210" s="17"/>
      <c r="Q210" s="17"/>
      <c r="R210" s="17"/>
      <c r="S210" s="17"/>
      <c r="T210" s="17"/>
    </row>
    <row r="211" spans="1:20" x14ac:dyDescent="0.35">
      <c r="A211" s="124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M211" s="17"/>
      <c r="N211" s="17"/>
      <c r="O211" s="17"/>
      <c r="P211" s="17"/>
      <c r="Q211" s="17"/>
      <c r="R211" s="17"/>
      <c r="S211" s="17"/>
      <c r="T211" s="17"/>
    </row>
    <row r="212" spans="1:20" x14ac:dyDescent="0.35">
      <c r="A212" s="124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M212" s="17"/>
      <c r="N212" s="17"/>
      <c r="O212" s="17"/>
      <c r="P212" s="17"/>
      <c r="Q212" s="17"/>
      <c r="R212" s="17"/>
      <c r="S212" s="17"/>
      <c r="T212" s="17"/>
    </row>
    <row r="213" spans="1:20" x14ac:dyDescent="0.35">
      <c r="A213" s="124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M213" s="17"/>
      <c r="N213" s="17"/>
      <c r="O213" s="17"/>
      <c r="P213" s="17"/>
      <c r="Q213" s="17"/>
      <c r="R213" s="17"/>
      <c r="S213" s="17"/>
      <c r="T213" s="17"/>
    </row>
    <row r="214" spans="1:20" x14ac:dyDescent="0.35">
      <c r="A214" s="124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M214" s="17"/>
      <c r="N214" s="17"/>
      <c r="O214" s="17"/>
      <c r="P214" s="17"/>
      <c r="Q214" s="17"/>
      <c r="R214" s="17"/>
      <c r="S214" s="17"/>
      <c r="T214" s="17"/>
    </row>
    <row r="215" spans="1:20" x14ac:dyDescent="0.35">
      <c r="A215" s="124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M215" s="17"/>
      <c r="N215" s="17"/>
      <c r="O215" s="17"/>
      <c r="P215" s="17"/>
      <c r="Q215" s="17"/>
      <c r="R215" s="17"/>
      <c r="S215" s="17"/>
      <c r="T215" s="17"/>
    </row>
    <row r="216" spans="1:20" x14ac:dyDescent="0.35">
      <c r="A216" s="124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M216" s="17"/>
      <c r="N216" s="17"/>
      <c r="O216" s="17"/>
      <c r="P216" s="17"/>
      <c r="Q216" s="17"/>
      <c r="R216" s="17"/>
      <c r="S216" s="17"/>
      <c r="T216" s="17"/>
    </row>
    <row r="217" spans="1:20" x14ac:dyDescent="0.35">
      <c r="A217" s="124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M217" s="17"/>
      <c r="N217" s="17"/>
      <c r="O217" s="17"/>
      <c r="P217" s="17"/>
      <c r="Q217" s="17"/>
      <c r="R217" s="17"/>
      <c r="S217" s="17"/>
      <c r="T217" s="17"/>
    </row>
    <row r="218" spans="1:20" x14ac:dyDescent="0.35">
      <c r="A218" s="124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M218" s="17"/>
      <c r="N218" s="17"/>
      <c r="O218" s="17"/>
      <c r="P218" s="17"/>
      <c r="Q218" s="17"/>
      <c r="R218" s="17"/>
      <c r="S218" s="17"/>
      <c r="T218" s="17"/>
    </row>
    <row r="219" spans="1:20" x14ac:dyDescent="0.35">
      <c r="A219" s="124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M219" s="17"/>
      <c r="N219" s="17"/>
      <c r="O219" s="17"/>
      <c r="P219" s="17"/>
      <c r="Q219" s="17"/>
      <c r="R219" s="17"/>
      <c r="S219" s="17"/>
      <c r="T219" s="17"/>
    </row>
    <row r="220" spans="1:20" x14ac:dyDescent="0.35">
      <c r="A220" s="124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M220" s="17"/>
      <c r="N220" s="17"/>
      <c r="O220" s="17"/>
      <c r="P220" s="17"/>
      <c r="Q220" s="17"/>
      <c r="R220" s="17"/>
      <c r="S220" s="17"/>
      <c r="T220" s="17"/>
    </row>
    <row r="221" spans="1:20" x14ac:dyDescent="0.35">
      <c r="A221" s="124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M221" s="17"/>
      <c r="N221" s="17"/>
      <c r="O221" s="17"/>
      <c r="P221" s="17"/>
      <c r="Q221" s="17"/>
      <c r="R221" s="17"/>
      <c r="S221" s="17"/>
      <c r="T221" s="17"/>
    </row>
    <row r="222" spans="1:20" x14ac:dyDescent="0.35">
      <c r="A222" s="124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M222" s="17"/>
      <c r="N222" s="17"/>
      <c r="O222" s="17"/>
      <c r="P222" s="17"/>
      <c r="Q222" s="17"/>
      <c r="R222" s="17"/>
      <c r="S222" s="17"/>
      <c r="T222" s="17"/>
    </row>
    <row r="223" spans="1:20" x14ac:dyDescent="0.35">
      <c r="A223" s="124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M223" s="17"/>
      <c r="N223" s="17"/>
      <c r="O223" s="17"/>
      <c r="P223" s="17"/>
      <c r="Q223" s="17"/>
      <c r="R223" s="17"/>
      <c r="S223" s="17"/>
      <c r="T223" s="17"/>
    </row>
    <row r="224" spans="1:20" x14ac:dyDescent="0.35">
      <c r="A224" s="124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M224" s="17"/>
      <c r="N224" s="17"/>
      <c r="O224" s="17"/>
      <c r="P224" s="17"/>
      <c r="Q224" s="17"/>
      <c r="R224" s="17"/>
      <c r="S224" s="17"/>
      <c r="T224" s="17"/>
    </row>
    <row r="225" spans="1:20" x14ac:dyDescent="0.35">
      <c r="A225" s="124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M225" s="17"/>
      <c r="N225" s="17"/>
      <c r="O225" s="17"/>
      <c r="P225" s="17"/>
      <c r="Q225" s="17"/>
      <c r="R225" s="17"/>
      <c r="S225" s="17"/>
      <c r="T225" s="17"/>
    </row>
    <row r="226" spans="1:20" x14ac:dyDescent="0.35">
      <c r="A226" s="124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M226" s="17"/>
      <c r="N226" s="17"/>
      <c r="O226" s="17"/>
      <c r="P226" s="17"/>
      <c r="Q226" s="17"/>
      <c r="R226" s="17"/>
      <c r="S226" s="17"/>
      <c r="T226" s="17"/>
    </row>
    <row r="227" spans="1:20" x14ac:dyDescent="0.35">
      <c r="A227" s="124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M227" s="17"/>
      <c r="N227" s="17"/>
      <c r="O227" s="17"/>
      <c r="P227" s="17"/>
      <c r="Q227" s="17"/>
      <c r="R227" s="17"/>
      <c r="S227" s="17"/>
      <c r="T227" s="17"/>
    </row>
    <row r="228" spans="1:20" x14ac:dyDescent="0.35">
      <c r="A228" s="124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M228" s="17"/>
      <c r="N228" s="17"/>
      <c r="O228" s="17"/>
      <c r="P228" s="17"/>
      <c r="Q228" s="17"/>
      <c r="R228" s="17"/>
      <c r="S228" s="17"/>
      <c r="T228" s="17"/>
    </row>
    <row r="229" spans="1:20" x14ac:dyDescent="0.35">
      <c r="A229" s="124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M229" s="17"/>
      <c r="N229" s="17"/>
      <c r="O229" s="17"/>
      <c r="P229" s="17"/>
      <c r="Q229" s="17"/>
      <c r="R229" s="17"/>
      <c r="S229" s="17"/>
      <c r="T229" s="17"/>
    </row>
    <row r="230" spans="1:20" x14ac:dyDescent="0.35">
      <c r="A230" s="124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M230" s="17"/>
      <c r="N230" s="17"/>
      <c r="O230" s="17"/>
      <c r="P230" s="17"/>
      <c r="Q230" s="17"/>
      <c r="R230" s="17"/>
      <c r="S230" s="17"/>
      <c r="T230" s="17"/>
    </row>
    <row r="231" spans="1:20" x14ac:dyDescent="0.35">
      <c r="A231" s="124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M231" s="17"/>
      <c r="N231" s="17"/>
      <c r="O231" s="17"/>
      <c r="P231" s="17"/>
      <c r="Q231" s="17"/>
      <c r="R231" s="17"/>
      <c r="S231" s="17"/>
      <c r="T231" s="17"/>
    </row>
    <row r="232" spans="1:20" x14ac:dyDescent="0.35">
      <c r="A232" s="124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M232" s="17"/>
      <c r="N232" s="17"/>
      <c r="O232" s="17"/>
      <c r="P232" s="17"/>
      <c r="Q232" s="17"/>
      <c r="R232" s="17"/>
      <c r="S232" s="17"/>
      <c r="T232" s="17"/>
    </row>
    <row r="233" spans="1:20" x14ac:dyDescent="0.35">
      <c r="A233" s="124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M233" s="17"/>
      <c r="N233" s="17"/>
      <c r="O233" s="17"/>
      <c r="P233" s="17"/>
      <c r="Q233" s="17"/>
      <c r="R233" s="17"/>
      <c r="S233" s="17"/>
      <c r="T233" s="17"/>
    </row>
    <row r="234" spans="1:20" x14ac:dyDescent="0.35">
      <c r="A234" s="124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M234" s="17"/>
      <c r="N234" s="17"/>
      <c r="O234" s="17"/>
      <c r="P234" s="17"/>
      <c r="Q234" s="17"/>
      <c r="R234" s="17"/>
      <c r="S234" s="17"/>
      <c r="T234" s="17"/>
    </row>
    <row r="235" spans="1:20" x14ac:dyDescent="0.35">
      <c r="D235" s="17"/>
      <c r="E235" s="17"/>
      <c r="F235" s="17"/>
      <c r="G235" s="17"/>
      <c r="H235" s="17"/>
      <c r="I235" s="17"/>
      <c r="J235" s="17"/>
      <c r="K235" s="17"/>
      <c r="M235" s="17"/>
      <c r="N235" s="17"/>
      <c r="O235" s="17"/>
      <c r="P235" s="17"/>
      <c r="Q235" s="17"/>
      <c r="R235" s="17"/>
      <c r="S235" s="17"/>
      <c r="T235" s="17"/>
    </row>
    <row r="236" spans="1:20" x14ac:dyDescent="0.35">
      <c r="D236" s="17"/>
      <c r="E236" s="17"/>
      <c r="F236" s="17"/>
      <c r="G236" s="17"/>
      <c r="H236" s="17"/>
      <c r="I236" s="17"/>
      <c r="J236" s="17"/>
      <c r="K236" s="17"/>
      <c r="M236" s="17"/>
      <c r="N236" s="17"/>
      <c r="O236" s="17"/>
      <c r="P236" s="17"/>
      <c r="Q236" s="17"/>
      <c r="R236" s="17"/>
      <c r="S236" s="17"/>
      <c r="T236" s="17"/>
    </row>
    <row r="237" spans="1:20" x14ac:dyDescent="0.35">
      <c r="D237" s="17"/>
      <c r="E237" s="17"/>
      <c r="F237" s="17"/>
      <c r="G237" s="17"/>
      <c r="H237" s="17"/>
      <c r="I237" s="17"/>
      <c r="J237" s="17"/>
      <c r="K237" s="17"/>
      <c r="M237" s="17"/>
      <c r="N237" s="17"/>
      <c r="O237" s="17"/>
      <c r="P237" s="17"/>
      <c r="Q237" s="17"/>
      <c r="R237" s="17"/>
      <c r="S237" s="17"/>
      <c r="T237" s="17"/>
    </row>
    <row r="238" spans="1:20" x14ac:dyDescent="0.35">
      <c r="D238" s="17"/>
      <c r="E238" s="17"/>
      <c r="F238" s="17"/>
      <c r="G238" s="17"/>
      <c r="H238" s="17"/>
      <c r="I238" s="17"/>
      <c r="J238" s="17"/>
      <c r="K238" s="17"/>
      <c r="M238" s="17"/>
      <c r="N238" s="17"/>
      <c r="O238" s="17"/>
      <c r="P238" s="17"/>
      <c r="Q238" s="17"/>
      <c r="R238" s="17"/>
      <c r="S238" s="17"/>
      <c r="T238" s="17"/>
    </row>
    <row r="239" spans="1:20" x14ac:dyDescent="0.35">
      <c r="D239" s="17"/>
      <c r="E239" s="17"/>
      <c r="F239" s="17"/>
      <c r="G239" s="17"/>
      <c r="H239" s="17"/>
      <c r="I239" s="17"/>
      <c r="J239" s="17"/>
      <c r="K239" s="17"/>
      <c r="M239" s="17"/>
      <c r="N239" s="17"/>
      <c r="O239" s="17"/>
      <c r="P239" s="17"/>
      <c r="Q239" s="17"/>
      <c r="R239" s="17"/>
      <c r="S239" s="17"/>
      <c r="T239" s="17"/>
    </row>
    <row r="240" spans="1:20" x14ac:dyDescent="0.35">
      <c r="D240" s="17"/>
      <c r="E240" s="17"/>
      <c r="F240" s="17"/>
      <c r="G240" s="17"/>
      <c r="H240" s="17"/>
      <c r="I240" s="17"/>
      <c r="J240" s="17"/>
      <c r="K240" s="17"/>
      <c r="M240" s="17"/>
      <c r="N240" s="17"/>
      <c r="O240" s="17"/>
      <c r="P240" s="17"/>
      <c r="Q240" s="17"/>
      <c r="R240" s="17"/>
      <c r="S240" s="17"/>
      <c r="T240" s="17"/>
    </row>
    <row r="241" spans="4:20" x14ac:dyDescent="0.35">
      <c r="D241" s="17"/>
      <c r="E241" s="17"/>
      <c r="F241" s="17"/>
      <c r="G241" s="17"/>
      <c r="H241" s="17"/>
      <c r="I241" s="17"/>
      <c r="J241" s="17"/>
      <c r="K241" s="17"/>
      <c r="M241" s="17"/>
      <c r="N241" s="17"/>
      <c r="O241" s="17"/>
      <c r="P241" s="17"/>
      <c r="Q241" s="17"/>
      <c r="R241" s="17"/>
      <c r="S241" s="17"/>
      <c r="T241" s="17"/>
    </row>
    <row r="242" spans="4:20" x14ac:dyDescent="0.35">
      <c r="D242" s="17"/>
      <c r="E242" s="17"/>
      <c r="F242" s="17"/>
      <c r="G242" s="17"/>
      <c r="H242" s="17"/>
      <c r="I242" s="17"/>
      <c r="J242" s="17"/>
      <c r="K242" s="17"/>
      <c r="M242" s="17"/>
      <c r="N242" s="17"/>
      <c r="O242" s="17"/>
      <c r="P242" s="17"/>
      <c r="Q242" s="17"/>
      <c r="R242" s="17"/>
      <c r="S242" s="17"/>
      <c r="T242" s="17"/>
    </row>
    <row r="243" spans="4:20" x14ac:dyDescent="0.35">
      <c r="D243" s="17"/>
      <c r="E243" s="17"/>
      <c r="F243" s="17"/>
      <c r="G243" s="17"/>
      <c r="H243" s="17"/>
      <c r="I243" s="17"/>
      <c r="J243" s="17"/>
      <c r="K243" s="17"/>
      <c r="M243" s="17"/>
      <c r="N243" s="17"/>
      <c r="O243" s="17"/>
      <c r="P243" s="17"/>
      <c r="Q243" s="17"/>
      <c r="R243" s="17"/>
      <c r="S243" s="17"/>
      <c r="T243" s="17"/>
    </row>
    <row r="244" spans="4:20" x14ac:dyDescent="0.35">
      <c r="D244" s="17"/>
      <c r="E244" s="17"/>
      <c r="F244" s="17"/>
      <c r="G244" s="17"/>
      <c r="H244" s="17"/>
      <c r="I244" s="17"/>
      <c r="J244" s="17"/>
      <c r="K244" s="17"/>
      <c r="M244" s="17"/>
      <c r="N244" s="17"/>
      <c r="O244" s="17"/>
      <c r="P244" s="17"/>
      <c r="Q244" s="17"/>
      <c r="R244" s="17"/>
      <c r="S244" s="17"/>
      <c r="T244" s="17"/>
    </row>
    <row r="245" spans="4:20" x14ac:dyDescent="0.35">
      <c r="D245" s="17"/>
      <c r="E245" s="17"/>
      <c r="F245" s="17"/>
      <c r="G245" s="17"/>
      <c r="H245" s="17"/>
      <c r="I245" s="17"/>
      <c r="J245" s="17"/>
      <c r="K245" s="17"/>
      <c r="M245" s="17"/>
      <c r="N245" s="17"/>
      <c r="O245" s="17"/>
      <c r="P245" s="17"/>
      <c r="Q245" s="17"/>
      <c r="R245" s="17"/>
      <c r="S245" s="17"/>
      <c r="T245" s="17"/>
    </row>
    <row r="246" spans="4:20" x14ac:dyDescent="0.35">
      <c r="D246" s="17"/>
      <c r="E246" s="17"/>
      <c r="F246" s="17"/>
      <c r="G246" s="17"/>
      <c r="H246" s="17"/>
      <c r="I246" s="17"/>
      <c r="J246" s="17"/>
      <c r="K246" s="17"/>
      <c r="M246" s="17"/>
      <c r="N246" s="17"/>
      <c r="O246" s="17"/>
      <c r="P246" s="17"/>
      <c r="Q246" s="17"/>
      <c r="R246" s="17"/>
      <c r="S246" s="17"/>
      <c r="T246" s="17"/>
    </row>
    <row r="247" spans="4:20" x14ac:dyDescent="0.35">
      <c r="D247" s="17"/>
      <c r="E247" s="17"/>
      <c r="F247" s="17"/>
      <c r="G247" s="17"/>
      <c r="H247" s="17"/>
      <c r="I247" s="17"/>
      <c r="J247" s="17"/>
      <c r="K247" s="17"/>
      <c r="M247" s="17"/>
      <c r="N247" s="17"/>
      <c r="O247" s="17"/>
      <c r="P247" s="17"/>
      <c r="Q247" s="17"/>
      <c r="R247" s="17"/>
      <c r="S247" s="17"/>
      <c r="T247" s="17"/>
    </row>
    <row r="248" spans="4:20" x14ac:dyDescent="0.35">
      <c r="D248" s="17"/>
      <c r="E248" s="17"/>
      <c r="F248" s="17"/>
      <c r="G248" s="17"/>
      <c r="H248" s="17"/>
      <c r="I248" s="17"/>
      <c r="J248" s="17"/>
      <c r="K248" s="17"/>
      <c r="M248" s="17"/>
      <c r="N248" s="17"/>
      <c r="O248" s="17"/>
      <c r="P248" s="17"/>
      <c r="Q248" s="17"/>
      <c r="R248" s="17"/>
      <c r="S248" s="17"/>
      <c r="T248" s="17"/>
    </row>
    <row r="249" spans="4:20" x14ac:dyDescent="0.35">
      <c r="D249" s="17"/>
      <c r="E249" s="17"/>
      <c r="F249" s="17"/>
      <c r="G249" s="17"/>
      <c r="H249" s="17"/>
      <c r="I249" s="17"/>
      <c r="J249" s="17"/>
      <c r="K249" s="17"/>
      <c r="M249" s="17"/>
      <c r="N249" s="17"/>
      <c r="O249" s="17"/>
      <c r="P249" s="17"/>
      <c r="Q249" s="17"/>
      <c r="R249" s="17"/>
      <c r="S249" s="17"/>
      <c r="T249" s="17"/>
    </row>
  </sheetData>
  <autoFilter ref="A5:T103" xr:uid="{F6091C45-0FE3-40BA-807A-3801C3A6C575}"/>
  <mergeCells count="3">
    <mergeCell ref="D2:K2"/>
    <mergeCell ref="H4:K4"/>
    <mergeCell ref="M4:T4"/>
  </mergeCells>
  <printOptions horizontalCentered="1" verticalCentered="1"/>
  <pageMargins left="0.25" right="0.25" top="0.75" bottom="0.75" header="0.3" footer="0.3"/>
  <pageSetup paperSize="9" scale="1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68ac266-09d3-4b9e-94cf-d701918f73dc" xsi:nil="true"/>
    <lcf76f155ced4ddcb4097134ff3c332f xmlns="706fd3bf-80ff-42d2-a96a-03056b83caf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6D62B311A40E544B0D2A4EDEE897AC5" ma:contentTypeVersion="13" ma:contentTypeDescription="Crear nuevo documento." ma:contentTypeScope="" ma:versionID="0bcd0a19de15f7e4188e403712e73d0f">
  <xsd:schema xmlns:xsd="http://www.w3.org/2001/XMLSchema" xmlns:xs="http://www.w3.org/2001/XMLSchema" xmlns:p="http://schemas.microsoft.com/office/2006/metadata/properties" xmlns:ns2="706fd3bf-80ff-42d2-a96a-03056b83caf9" xmlns:ns3="068ac266-09d3-4b9e-94cf-d701918f73dc" xmlns:ns4="72380050-476b-4b41-8d4a-b2963b6f5efe" targetNamespace="http://schemas.microsoft.com/office/2006/metadata/properties" ma:root="true" ma:fieldsID="1f0e1db1c882c100ba646642db95b879" ns2:_="" ns3:_="" ns4:_="">
    <xsd:import namespace="706fd3bf-80ff-42d2-a96a-03056b83caf9"/>
    <xsd:import namespace="068ac266-09d3-4b9e-94cf-d701918f73dc"/>
    <xsd:import namespace="72380050-476b-4b41-8d4a-b2963b6f5ef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6fd3bf-80ff-42d2-a96a-03056b83ca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Etiquetas de imagen" ma:readOnly="false" ma:fieldId="{5cf76f15-5ced-4ddc-b409-7134ff3c332f}" ma:taxonomyMulti="true" ma:sspId="0f4afbdf-b431-4932-b70a-70c1915ab5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8ac266-09d3-4b9e-94cf-d701918f73d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239f7e25-34f2-43b6-b9f9-9a865a522de9}" ma:internalName="TaxCatchAll" ma:showField="CatchAllData" ma:web="068ac266-09d3-4b9e-94cf-d701918f73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380050-476b-4b41-8d4a-b2963b6f5ef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DE2DBC-2FD7-4665-A182-AB3D2AC99C51}">
  <ds:schemaRefs>
    <ds:schemaRef ds:uri="http://schemas.microsoft.com/office/2006/metadata/properties"/>
    <ds:schemaRef ds:uri="http://schemas.microsoft.com/office/infopath/2007/PartnerControls"/>
    <ds:schemaRef ds:uri="068ac266-09d3-4b9e-94cf-d701918f73dc"/>
    <ds:schemaRef ds:uri="706fd3bf-80ff-42d2-a96a-03056b83caf9"/>
  </ds:schemaRefs>
</ds:datastoreItem>
</file>

<file path=customXml/itemProps2.xml><?xml version="1.0" encoding="utf-8"?>
<ds:datastoreItem xmlns:ds="http://schemas.openxmlformats.org/officeDocument/2006/customXml" ds:itemID="{ECBD19C9-6304-461B-8718-27E5FD0975D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83EF4B-0F06-4675-9D9F-D323FA809D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6fd3bf-80ff-42d2-a96a-03056b83caf9"/>
    <ds:schemaRef ds:uri="068ac266-09d3-4b9e-94cf-d701918f73dc"/>
    <ds:schemaRef ds:uri="72380050-476b-4b41-8d4a-b2963b6f5e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Financial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Virginia del Pozo – FIIAPP</dc:creator>
  <cp:keywords/>
  <dc:description/>
  <cp:lastModifiedBy>Gerardo Trucci - FIIAPP</cp:lastModifiedBy>
  <cp:revision/>
  <dcterms:created xsi:type="dcterms:W3CDTF">2015-06-05T18:17:20Z</dcterms:created>
  <dcterms:modified xsi:type="dcterms:W3CDTF">2025-06-11T22:27:50Z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0x010100C6D62B311A40E544B0D2A4EDEE897AC5</vt:lpwstr>
  </property>
  <property fmtid="{D5CDD505-2E9C-101B-9397-08002B2CF9AE}" pid="3" name="MediaServiceImageTags">
    <vt:lpwstr/>
  </property>
</Properties>
</file>